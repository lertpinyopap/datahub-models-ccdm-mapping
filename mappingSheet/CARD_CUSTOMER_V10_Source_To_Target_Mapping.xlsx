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scloud.sharepoint.com/sites/PayArchitecture142/Shared Documents/Architecture Initiatives/Core Cards Platform/Core Card Data Model/Source To Target Mappings/Ready for Review/"/>
    </mc:Choice>
  </mc:AlternateContent>
  <xr:revisionPtr revIDLastSave="435" documentId="8_{D057A0C2-7397-46FA-9B78-5434712EEAC7}" xr6:coauthVersionLast="47" xr6:coauthVersionMax="47" xr10:uidLastSave="{122D2388-9FEB-4D7D-8A20-5FA027E86BEB}"/>
  <bookViews>
    <workbookView xWindow="28680" yWindow="-120" windowWidth="29040" windowHeight="15720" tabRatio="299" firstSheet="1" activeTab="3" xr2:uid="{AFF06016-32F1-4350-BBD5-CA9703C00F32}"/>
  </bookViews>
  <sheets>
    <sheet name="Overview" sheetId="1" r:id="rId1"/>
    <sheet name="Change Control" sheetId="7" r:id="rId2"/>
    <sheet name="Context" sheetId="2" r:id="rId3"/>
    <sheet name="Mapping" sheetId="3" r:id="rId4"/>
    <sheet name="Sheet1" sheetId="8" r:id="rId5"/>
    <sheet name="Example SQL" sheetId="4" r:id="rId6"/>
    <sheet name="Example Data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8" i="4" l="1" a="1"/>
  <c r="A8" i="4" s="1"/>
  <c r="A1" i="4" a="1"/>
  <c r="A1" i="4" s="1"/>
  <c r="A2" i="4" a="1"/>
  <c r="A2" i="4" s="1"/>
  <c r="A199" i="4" a="1"/>
  <c r="A199" i="4" s="1"/>
  <c r="A212" i="4" a="1"/>
  <c r="A21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<sst xmlns="http://schemas.openxmlformats.org/spreadsheetml/2006/main" count="765" uniqueCount="344">
  <si>
    <t>Name</t>
  </si>
  <si>
    <t>Granularity</t>
  </si>
  <si>
    <t>1 record per customer change.
The latest record is marked IS_CURRENT_FLAG='Y'. Only 1 record per customer is marked = 'Y'</t>
  </si>
  <si>
    <t>Description</t>
  </si>
  <si>
    <r>
      <t xml:space="preserve">Maps a V10 Customer format to Pay Core format.
</t>
    </r>
    <r>
      <rPr>
        <b/>
        <sz val="11"/>
        <color rgb="FFFF0000"/>
        <rFont val="Aptos Narrow"/>
        <family val="2"/>
        <scheme val="minor"/>
      </rPr>
      <t>Fields should not be merged. Repeat values are easier for automated processing.</t>
    </r>
  </si>
  <si>
    <t>Purpose</t>
  </si>
  <si>
    <r>
      <t xml:space="preserve">A mapping should describe a single target object and include all stages that are relevant. 
</t>
    </r>
    <r>
      <rPr>
        <b/>
        <sz val="11"/>
        <color theme="1"/>
        <rFont val="Aptos Narrow"/>
        <family val="2"/>
        <scheme val="minor"/>
      </rPr>
      <t>Source System</t>
    </r>
    <r>
      <rPr>
        <sz val="11"/>
        <color theme="1"/>
        <rFont val="Aptos Narrow"/>
        <family val="2"/>
        <scheme val="minor"/>
      </rPr>
      <t xml:space="preserve"> - all relevant source systems. The name of the source objects are to be listed under each source system that provides data for the mapping.
</t>
    </r>
    <r>
      <rPr>
        <b/>
        <sz val="11"/>
        <color theme="1"/>
        <rFont val="Aptos Narrow"/>
        <family val="2"/>
        <scheme val="minor"/>
      </rPr>
      <t>Bronze</t>
    </r>
    <r>
      <rPr>
        <sz val="11"/>
        <color theme="1"/>
        <rFont val="Aptos Narrow"/>
        <family val="2"/>
        <scheme val="minor"/>
      </rPr>
      <t xml:space="preserve"> - all relevant Bronze layer objects are to be listed. These are connected to the relevant Source System objects to show lineage.
</t>
    </r>
    <r>
      <rPr>
        <b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- For new core objects, link them to the relevant Bronze objects to show lineage.
</t>
    </r>
    <r>
      <rPr>
        <b/>
        <sz val="11"/>
        <color theme="1"/>
        <rFont val="Aptos Narrow"/>
        <family val="2"/>
        <scheme val="minor"/>
      </rPr>
      <t>Analytic</t>
    </r>
    <r>
      <rPr>
        <sz val="11"/>
        <color theme="1"/>
        <rFont val="Aptos Narrow"/>
        <family val="2"/>
        <scheme val="minor"/>
      </rPr>
      <t xml:space="preserve"> - For new analytic objects, link them to the relevant Core object. </t>
    </r>
  </si>
  <si>
    <t>Tab Name</t>
  </si>
  <si>
    <t>Field</t>
  </si>
  <si>
    <t>Change Control</t>
  </si>
  <si>
    <t>This tab is used to manage change history.</t>
  </si>
  <si>
    <t>Date of Change</t>
  </si>
  <si>
    <t>The date the change was made.</t>
  </si>
  <si>
    <t>Change Status</t>
  </si>
  <si>
    <t>The status of the change. One of
DRAFT
REVIEW
FINAL</t>
  </si>
  <si>
    <t>A description of the changes made</t>
  </si>
  <si>
    <t>Ticket</t>
  </si>
  <si>
    <t>A link to the ticket that caused the change</t>
  </si>
  <si>
    <t>Context</t>
  </si>
  <si>
    <t>A diagram of the objects that are used in the mapping.</t>
  </si>
  <si>
    <t>Mapping</t>
  </si>
  <si>
    <t>A detailed mapping from source to target that can be used to develop the solution.</t>
  </si>
  <si>
    <t>Date and a reference to the ticket in the change control tab that caused the change.
In reverse change order (latest first)</t>
  </si>
  <si>
    <t>Source_System</t>
  </si>
  <si>
    <t>The system from  which we are getting the data. For example, PAY.CORE; REFERENCE.CORE and so on</t>
  </si>
  <si>
    <t>Source_Entity</t>
  </si>
  <si>
    <t>The table or file from which the data is sourced</t>
  </si>
  <si>
    <t>Source_Attribute</t>
  </si>
  <si>
    <t>The name of the attribute being sourced</t>
  </si>
  <si>
    <t>Source_Datatype</t>
  </si>
  <si>
    <t>The datatype of the source attribute</t>
  </si>
  <si>
    <t>Join_Condition</t>
  </si>
  <si>
    <t>If more than 1 table is being sourced from, this is how we join the tables</t>
  </si>
  <si>
    <t>Filter_Condition</t>
  </si>
  <si>
    <t>Any filtering of the source column data</t>
  </si>
  <si>
    <t>Default_Value</t>
  </si>
  <si>
    <t>If there is no value in the source, use this.</t>
  </si>
  <si>
    <t>Reference_Entity</t>
  </si>
  <si>
    <t>If the source attribute is a code, this is the reference table that the code will be mapped to.
For example, MERCHANT_CATEGORY; COUNTRY</t>
  </si>
  <si>
    <t>Mapping_Required_Flag</t>
  </si>
  <si>
    <t>Y - the code is to be mapped to the reference entity</t>
  </si>
  <si>
    <t>Transformation_Type</t>
  </si>
  <si>
    <t>How the data is to be transformed
* DIRECT
* DERIVED
* LOOKUP
* CONSTANT
This will drive dbt SQL generation.</t>
  </si>
  <si>
    <t>Transformation_Logic</t>
  </si>
  <si>
    <t>Transformation to be applied</t>
  </si>
  <si>
    <t>Target_Domain</t>
  </si>
  <si>
    <t>The target database.</t>
  </si>
  <si>
    <t>Target_Schema</t>
  </si>
  <si>
    <t>The schema of the target object</t>
  </si>
  <si>
    <t>Target_Entity</t>
  </si>
  <si>
    <t>The target table</t>
  </si>
  <si>
    <t>Target_Attribute</t>
  </si>
  <si>
    <t>The target field</t>
  </si>
  <si>
    <t>Target_Datatype</t>
  </si>
  <si>
    <t>The target data type</t>
  </si>
  <si>
    <t>Target_Grain</t>
  </si>
  <si>
    <t>Describe what 1 row of the target represents. 
Once defined, this must not change.</t>
  </si>
  <si>
    <t>Is_Nullable</t>
  </si>
  <si>
    <t>Y - the field can be NULL
N - the field cannot be NULL</t>
  </si>
  <si>
    <t>Is_Primary_Key</t>
  </si>
  <si>
    <t>Y - the field is part of the primary key
N - the field is not part of the primary key.</t>
  </si>
  <si>
    <t>Is_Business_Key</t>
  </si>
  <si>
    <t>Y - the field is part of the business key
N - the field is not part of the business key.</t>
  </si>
  <si>
    <t>Scd_Type</t>
  </si>
  <si>
    <t>0 - the field cannot be changed
1 - the field is to be overwritten
2 - a change generates a new record with Is_Current_Flag = Y, marking the previous Is_Current_Flag = N</t>
  </si>
  <si>
    <t>Is_Current_Flag_Logic</t>
  </si>
  <si>
    <t>Used to inform dbt model</t>
  </si>
  <si>
    <t>Valid_From_Logic</t>
  </si>
  <si>
    <t>Valid_To_Logic</t>
  </si>
  <si>
    <t>Dq_Rules</t>
  </si>
  <si>
    <t>Test_Case</t>
  </si>
  <si>
    <t>Owner</t>
  </si>
  <si>
    <t>Notes</t>
  </si>
  <si>
    <t>DRAFT</t>
  </si>
  <si>
    <t>Initial version</t>
  </si>
  <si>
    <t>[DM-672] CCDM00301: V2 Credit Card Customer Mapping - Jira</t>
  </si>
  <si>
    <t>&lt;high-level overview diagram showing the objects involved&gt;</t>
  </si>
  <si>
    <t>Technical_Description</t>
  </si>
  <si>
    <t>Business_Description</t>
  </si>
  <si>
    <t>Is_Business_Data</t>
  </si>
  <si>
    <t>Sensitivity</t>
  </si>
  <si>
    <t>V10</t>
  </si>
  <si>
    <t>Sequence</t>
  </si>
  <si>
    <t>Surrogate Key</t>
  </si>
  <si>
    <t>PAY</t>
  </si>
  <si>
    <t>CORE</t>
  </si>
  <si>
    <t>VARCHAR (64)</t>
  </si>
  <si>
    <t>pii_category: NONE</t>
  </si>
  <si>
    <t>RAW.VISION.CUSTOMER</t>
  </si>
  <si>
    <t>VARCHAR</t>
  </si>
  <si>
    <t>An encrypted (hash) value of the business key data. This  will be the same value for all data with a common business key. This is called SCD7 by Kimball. Examples: hash(Customer Id); hash(Country Code). This is used to simplify look back and get current processing.</t>
  </si>
  <si>
    <t>RAW.VISION.ACCOUNT_BASE_SEGMENT</t>
  </si>
  <si>
    <t>Y</t>
  </si>
  <si>
    <t>Lookup</t>
  </si>
  <si>
    <t>CUSTOMER_STATUS_KEY</t>
  </si>
  <si>
    <t>APPLICATION_NUMBER</t>
  </si>
  <si>
    <t>Generated by the card application process.</t>
  </si>
  <si>
    <t>AMNA_ACCT</t>
  </si>
  <si>
    <t>CUSTOMER_ID</t>
  </si>
  <si>
    <t>VARCHAR (20)</t>
  </si>
  <si>
    <t>Unique identifier for customer at Vision Next</t>
  </si>
  <si>
    <t>2026-07-09 RW: Field added.</t>
  </si>
  <si>
    <t>The unique Latitude-wide identifier assigned to a customer and used to link a customers records across products, systems, and business processes.</t>
  </si>
  <si>
    <t>AMNA_TITLE_01</t>
  </si>
  <si>
    <t>TITLE</t>
  </si>
  <si>
    <t>VARCHAR (10)</t>
  </si>
  <si>
    <t>The title of the customer. Mr/Mrs/Miss and so on.</t>
  </si>
  <si>
    <t>AMNA_FIRST_NAME_01</t>
  </si>
  <si>
    <t>FIRST_NAME</t>
  </si>
  <si>
    <t>VARCHAR (50)</t>
  </si>
  <si>
    <t>First name of the person.</t>
  </si>
  <si>
    <t>pii_category: IDENTIFIER</t>
  </si>
  <si>
    <t>AMNA_MIDDLE_NAME_01</t>
  </si>
  <si>
    <t>MIDDLE_NAME</t>
  </si>
  <si>
    <t>Middle name of the person.</t>
  </si>
  <si>
    <t>AMNA_LAST_NAME_01</t>
  </si>
  <si>
    <t>SURNAME</t>
  </si>
  <si>
    <t>Surname of the person.</t>
  </si>
  <si>
    <t>AMNA_DOB_01</t>
  </si>
  <si>
    <t>DATE</t>
  </si>
  <si>
    <t>DATE_OF_BIRTH</t>
  </si>
  <si>
    <t>Date of birth of the person.</t>
  </si>
  <si>
    <t>pii_category: QUASI_IDENTIFIER</t>
  </si>
  <si>
    <t>This column is null/Empty for most of the customers</t>
  </si>
  <si>
    <t>EXTERNAL_ID</t>
  </si>
  <si>
    <t>UNKNOWN</t>
  </si>
  <si>
    <t>External Identifications of the person.</t>
  </si>
  <si>
    <t>'AMID'</t>
  </si>
  <si>
    <t xml:space="preserve"> Account Management Identification.</t>
  </si>
  <si>
    <t>EXTERNAL_IDENTIFICATION_TYPE</t>
  </si>
  <si>
    <t>External Identification type for the person. Possible Values are : 1 )CRID (CRM ID generated at FI customer relationship management system) 2 )AMID (Account Management Identification)</t>
  </si>
  <si>
    <t>AMBS_DATE_OPENED</t>
  </si>
  <si>
    <t>CREATED_DATETIME</t>
  </si>
  <si>
    <t>Date-time that the record was created by Domain</t>
  </si>
  <si>
    <t>AMNA_DATE_LAST_MAINT</t>
  </si>
  <si>
    <t>UPDATED_DATETIME</t>
  </si>
  <si>
    <t>Date-time that the Person record was updated by Domain</t>
  </si>
  <si>
    <t>2026-07-09 RW: Change True/False to Y/N</t>
  </si>
  <si>
    <t>AMBS_INT_STATUS</t>
  </si>
  <si>
    <t>IS_ACTIVE_IN_SOURCE_FLAG</t>
  </si>
  <si>
    <t>VARCHAR (1)</t>
  </si>
  <si>
    <t>Indicates record is active or not , Possbile values are 1 ) Y 2 ) N</t>
  </si>
  <si>
    <t>Indicates record is active or not , Possile values are 1 ) Y 2 ) N</t>
  </si>
  <si>
    <t>20260623 RW Ignore</t>
  </si>
  <si>
    <t>IS_CURRENT_FLAG</t>
  </si>
  <si>
    <t>A flag that indicates this is the current version of the record. Y - Yes; N - No.</t>
  </si>
  <si>
    <t>IS_DELETED_FLAG</t>
  </si>
  <si>
    <t>A flag that indicates the record has been deleted in the source system. Y - Yes, the record has been deleted;  N - No, the record has not been deleted.</t>
  </si>
  <si>
    <t>VALID_FROM_DATETIME</t>
  </si>
  <si>
    <t>The date and time on which this record became active.</t>
  </si>
  <si>
    <t>VALID_TO_DATETIME</t>
  </si>
  <si>
    <t>The date and time on which this record stopped being active.</t>
  </si>
  <si>
    <t>BUSINESS_DATA_HASH</t>
  </si>
  <si>
    <t>An encrypted (hash) of the business data fields for SCD2 processing.</t>
  </si>
  <si>
    <t>AUDIT_CREATED_DATETIME</t>
  </si>
  <si>
    <t>The date and time on which this record was created.</t>
  </si>
  <si>
    <t>AUDIT_LAST_CHANGED_DATETIME</t>
  </si>
  <si>
    <t>The date and time on which this record was last changed. Last Changed Datetime = Created Datetime when the record is first created.</t>
  </si>
  <si>
    <t>AUDIT_DATA_PROCESS_KEY</t>
  </si>
  <si>
    <t>The primary key of the process that created/changed the record.</t>
  </si>
  <si>
    <t>VARCHAR (16777216)</t>
  </si>
  <si>
    <t>Indicates record is active or not , Possile values are 1 ) True 2 ) False</t>
  </si>
  <si>
    <t>&lt;ADD_ENTITY_PREFIX&gt;_BUSINESS_KEY</t>
  </si>
  <si>
    <t>CLV_ID</t>
  </si>
  <si>
    <t>CUSTOMER_STATUS_CODE</t>
  </si>
  <si>
    <t>AMNA_ADD_STATUS, AMNA_STATUS</t>
  </si>
  <si>
    <t>REFERENCE.CORE.CUSTOMER_STATUS</t>
  </si>
  <si>
    <t>RAW.VISION.CUSTOMER C
-- Bridge: Customer to Account
JOIN RAW.VISION.CUSTOMER_ACCOUNT CA
    ON C.AMNA_ACCT = CA.AMBX_NA_ACCT
    AND C.AMNA_ORG = TRY_TO_NUMBER(CA.AMBX_NA_ORG)
-- Account Base Segment: status, dates, application number
JOIN RAW.VISION.ACCOUNT_BASE_SEGMENT ABS
    ON CA.AMBX_BS_ACCT = ABS.AMBS_ACCT
    AND CA.AMBX_BS_ORG = ABS.AMBS_ORG</t>
  </si>
  <si>
    <t>NULL</t>
  </si>
  <si>
    <t xml:space="preserve"> CASE 
        WHEN AMBS_INT_STATUS = 'A' THEN 'Y' 
        ELSE 'N' 
    END AS IS_ACTIVE_IN_SOURCE_FLAG</t>
  </si>
  <si>
    <t>USE DATABASE RAW;</t>
  </si>
  <si>
    <t>USE SCHEMA VISION;</t>
  </si>
  <si>
    <t>--------------------------------------------------------------------------------</t>
  </si>
  <si>
    <t>-- SOURCE: RAW.VISION.CUSTOMER (C)</t>
  </si>
  <si>
    <t>--         RAW.VISION.CUSTOMER_ACCOUNT (CA) [Bridge]</t>
  </si>
  <si>
    <t>--         RAW.VISION.ACCOUNT_BASE_SEGMENT (ABS)</t>
  </si>
  <si>
    <t>--</t>
  </si>
  <si>
    <t>-- GRAIN: 1 record per customer change (SCD Type 2)</t>
  </si>
  <si>
    <t>-- BUSINESS KEY: AMNA_ORG || '-' || AMNA_ACCT</t>
  </si>
  <si>
    <t>-- JOIN PATH:</t>
  </si>
  <si>
    <t>--   C.AMNA_ACCT = CA.AMBX_NA_ACCT AND C.AMNA_ORG = TRY_TO_NUMBER(CA.AMBX_NA_ORG)</t>
  </si>
  <si>
    <t>--   CA.AMBX_BS_ACCT = ABS.AMBS_ACCT AND CA.AMBX_BS_ORG = ABS.AMBS_ORG</t>
  </si>
  <si>
    <t>-- =============================================================================</t>
  </si>
  <si>
    <t>-- STEP 1: Validate source data quality &amp; record counts</t>
  </si>
  <si>
    <t>-- 1a. Total records and join coverage</t>
  </si>
  <si>
    <t xml:space="preserve">SELECT </t>
  </si>
  <si>
    <t xml:space="preserve">    'RAW.VISION.CUSTOMER' AS SOURCE_TABLE,</t>
  </si>
  <si>
    <t xml:space="preserve">    COUNT(*) AS TOTAL_ROWS,</t>
  </si>
  <si>
    <t xml:space="preserve">    COUNT(DISTINCT AMNA_ACCT) AS DISTINCT_CUSTOMERS</t>
  </si>
  <si>
    <t>FROM RAW.VISION.CUSTOMER;</t>
  </si>
  <si>
    <t>-- 1b. Join coverage: How many CUSTOMER records successfully join through to ACCOUNT_BASE_SEGMENT?</t>
  </si>
  <si>
    <t>SELECT</t>
  </si>
  <si>
    <t xml:space="preserve">    COUNT(*) AS TOTAL_JOINED,</t>
  </si>
  <si>
    <t xml:space="preserve">    COUNT(DISTINCT C.AMNA_ACCT) AS DISTINCT_CUSTOMERS_WITH_ACCOUNT</t>
  </si>
  <si>
    <t>FROM RAW.VISION.CUSTOMER C</t>
  </si>
  <si>
    <t>JOIN RAW.VISION.CUSTOMER_ACCOUNT CA</t>
  </si>
  <si>
    <t xml:space="preserve">    ON C.AMNA_ACCT = CA.AMBX_NA_ACCT</t>
  </si>
  <si>
    <t xml:space="preserve">    AND C.AMNA_ORG = TRY_TO_NUMBER(CA.AMBX_NA_ORG)</t>
  </si>
  <si>
    <t>JOIN RAW.VISION.ACCOUNT_BASE_SEGMENT ABS</t>
  </si>
  <si>
    <t xml:space="preserve">    ON CA.AMBX_BS_ACCT = ABS.AMBS_ACCT</t>
  </si>
  <si>
    <t xml:space="preserve">    AND CA.AMBX_BS_ORG = ABS.AMBS_ORG;</t>
  </si>
  <si>
    <t>-- STEP 2: Source-to-Target Mapping Query</t>
  </si>
  <si>
    <t xml:space="preserve">    -- =========================================================================</t>
  </si>
  <si>
    <t xml:space="preserve">    -- Source: None (generated at load)</t>
  </si>
  <si>
    <t xml:space="preserve">    -- Transformation: DERIVED - Sequence/Identity generated by target system</t>
  </si>
  <si>
    <t xml:space="preserve">    -- Source: RAW.VISION.CUSTOMER.AMNA_ORG + AMNA_ACCT</t>
  </si>
  <si>
    <t xml:space="preserve">    -- Transformation: DERIVED - MD5 hash of ORG + ACCT</t>
  </si>
  <si>
    <t xml:space="preserve">    -- #3 CUSTOMER_STATUS_KEY (FK to CUSTOMER_STATUS dimension)</t>
  </si>
  <si>
    <t xml:space="preserve">    -- Source: RAW.VISION.CUSTOMER.AMNA_ADD_STATUS + AMNA_STATUS</t>
  </si>
  <si>
    <t xml:space="preserve">    -- Transformation: DERIVED - Per FD AMNA sheet row 4:</t>
  </si>
  <si>
    <t xml:space="preserve">    --   1) AMNA_ADD_STATUS != 99 → 'PROF' (ProForma, not fully activated)</t>
  </si>
  <si>
    <t xml:space="preserve">    --   2) AMNA_STATUS = 0       → 'ENAB' (Enabled/Active)</t>
  </si>
  <si>
    <t xml:space="preserve">    --   3) AMNA_STATUS = 1       → 'DISA' (Disabled/Inactive)</t>
  </si>
  <si>
    <t xml:space="preserve">    --   4) AMNA_STATUS = 2       → 'DELE' (Logically deleted)</t>
  </si>
  <si>
    <t xml:space="preserve">    --   ELSE                     → 'DQMapping'</t>
  </si>
  <si>
    <t xml:space="preserve">    -- Distribution: ENAB=7.9M, DELE=1.7M, PROF=4.5K, DISA=5, DQMapping=3</t>
  </si>
  <si>
    <t xml:space="preserve">    -- Note: PURG exists in VN target but has no V10 source equivalent</t>
  </si>
  <si>
    <t xml:space="preserve">    CASE</t>
  </si>
  <si>
    <t xml:space="preserve">        WHEN C.AMNA_ADD_STATUS != 99 THEN 'PROF'</t>
  </si>
  <si>
    <t xml:space="preserve">        WHEN C.AMNA_STATUS = 0 THEN 'ENAB'</t>
  </si>
  <si>
    <t xml:space="preserve">        WHEN C.AMNA_STATUS = 1 THEN 'DISA'</t>
  </si>
  <si>
    <t xml:space="preserve">        WHEN C.AMNA_STATUS = 2 THEN 'DELE'</t>
  </si>
  <si>
    <t xml:space="preserve">        ELSE 'DQMapping'</t>
  </si>
  <si>
    <t xml:space="preserve">    END AS CUSTOMER_STATUS_CODE,</t>
  </si>
  <si>
    <t xml:space="preserve">    -- #4 APPLICATION_NUMBER</t>
  </si>
  <si>
    <t xml:space="preserve">    -- Source: RAW.VISION.ACCOUNT_BASE_SEGMENT.AMBS_APS_ACCT</t>
  </si>
  <si>
    <t xml:space="preserve">    -- Transformation: DIRECT - Cast to VARCHAR</t>
  </si>
  <si>
    <t xml:space="preserve">    ABS.AMBS_APS_ACCT::VARCHAR AS APPLICATION_NUMBER,</t>
  </si>
  <si>
    <t xml:space="preserve">    -- #5 CUSTOMER_ID</t>
  </si>
  <si>
    <t xml:space="preserve">    -- Source: RAW.VISION.CUSTOMER.AMNA_ACCT</t>
  </si>
  <si>
    <t xml:space="preserve">    -- Transformation: DIRECT</t>
  </si>
  <si>
    <t xml:space="preserve">    C.AMNA_ACCT AS CUSTOMER_ID,</t>
  </si>
  <si>
    <t xml:space="preserve">    -- #6 CLV_ID</t>
  </si>
  <si>
    <t xml:space="preserve">    -- Source: NONE IN RAW.VISION</t>
  </si>
  <si>
    <t xml:space="preserve">    -- Transformation: NOT AVAILABLE - No CLV/loyalty ID exists in V10</t>
  </si>
  <si>
    <t xml:space="preserve">    -- Action: Confirm with business if this should be NULL or sourced elsewhere</t>
  </si>
  <si>
    <t xml:space="preserve">    NULL AS CLV_ID,</t>
  </si>
  <si>
    <t xml:space="preserve">    -- #7 TITLE</t>
  </si>
  <si>
    <t xml:space="preserve">    -- Source: RAW.VISION.CUSTOMER.AMNA_TITLE_01</t>
  </si>
  <si>
    <t xml:space="preserve">    -- Note: Contains non-standard values (ATM, FC, BUDGET ADVISOR, etc.)</t>
  </si>
  <si>
    <t xml:space="preserve">    --       May need cleansing rules applied downstream</t>
  </si>
  <si>
    <t xml:space="preserve">    C.AMNA_TITLE_01 AS TITLE,</t>
  </si>
  <si>
    <t xml:space="preserve">    -- #8 FIRST_NAME</t>
  </si>
  <si>
    <t xml:space="preserve">    -- Source: RAW.VISION.CUSTOMER.AMNA_FIRST_NAME_01</t>
  </si>
  <si>
    <t xml:space="preserve">    C.AMNA_FIRST_NAME_01 AS FIRST_NAME,</t>
  </si>
  <si>
    <t xml:space="preserve">    -- #9 MIDDLE_NAME</t>
  </si>
  <si>
    <t xml:space="preserve">    -- Source: RAW.VISION.CUSTOMER.AMNA_MIDDLE_NAME_01</t>
  </si>
  <si>
    <t xml:space="preserve">    C.AMNA_MIDDLE_NAME_01 AS MIDDLE_NAME,</t>
  </si>
  <si>
    <t xml:space="preserve">    -- #10 SURNAME</t>
  </si>
  <si>
    <t xml:space="preserve">    -- Source: RAW.VISION.CUSTOMER.AMNA_LAST_NAME_01</t>
  </si>
  <si>
    <t xml:space="preserve">    C.AMNA_LAST_NAME_01 AS SURNAME,</t>
  </si>
  <si>
    <t xml:space="preserve">    -- #11 DATE_OF_BIRTH</t>
  </si>
  <si>
    <t xml:space="preserve">    -- Source: RAW.VISION.CUSTOMER.AMNA_DOB_01</t>
  </si>
  <si>
    <t xml:space="preserve">    -- Transformation: DIRECT (DATE type)</t>
  </si>
  <si>
    <t xml:space="preserve">    C.AMNA_DOB_01 AS DATE_OF_BIRTH,</t>
  </si>
  <si>
    <t xml:space="preserve">    -- #12 EXTERNAL_ID</t>
  </si>
  <si>
    <t xml:space="preserve">    -- Source: RAW.VISION.CUSTOMER.AMNA_SSAN_01</t>
  </si>
  <si>
    <t xml:space="preserve">    -- Note: Only ~12K of 9.6M records populated (99.9% NULL/empty)</t>
  </si>
  <si>
    <t xml:space="preserve">    NULL AS EXTERNAL_ID,</t>
  </si>
  <si>
    <t xml:space="preserve">    -- #13 EXTERNAL_IDENTIFICATION_TYPE</t>
  </si>
  <si>
    <t xml:space="preserve">    -- Source: None (constant)</t>
  </si>
  <si>
    <t xml:space="preserve">    -- Transformation: CONSTANT - 'AMID' (Account Management Identification)</t>
  </si>
  <si>
    <t xml:space="preserve">    -- Per VN catalogue: Possible values are CRID or AMID. V10 source = AMID.</t>
  </si>
  <si>
    <t xml:space="preserve">    'AMID' AS EXTERNAL_IDENTIFICATION_TYPE,</t>
  </si>
  <si>
    <t xml:space="preserve">    -- #14 CREATED_DATETIME</t>
  </si>
  <si>
    <t xml:space="preserve">    -- Source: RAW.VISION.ACCOUNT_BASE_SEGMENT.AMBS_DATE_OPENED</t>
  </si>
  <si>
    <t xml:space="preserve">    -- Transformation: DIRECT (DATE to TIMESTAMP cast)</t>
  </si>
  <si>
    <t xml:space="preserve">    ABS.AMBS_DATE_OPENED AS CREATED_DATETIME,</t>
  </si>
  <si>
    <t xml:space="preserve">    -- #15 UPDATED_DATETIME</t>
  </si>
  <si>
    <t xml:space="preserve">    -- Source: RAW.VISION.CUSTOMER.AMNA_DATE_LAST_MAINT</t>
  </si>
  <si>
    <t xml:space="preserve">    C.AMNA_DATE_LAST_MAINT AS UPDATED_DATETIME,</t>
  </si>
  <si>
    <t xml:space="preserve">    -- #16 IS_ACTIVE_IN_SOURCE_FLAG</t>
  </si>
  <si>
    <t xml:space="preserve">    -- Transformation: DERIVED - VARCHAR(1): Y/N</t>
  </si>
  <si>
    <t xml:space="preserve">    --   'Y' when customer status = ENAB (AMNA_ADD_STATUS=99 AND AMNA_STATUS=0)</t>
  </si>
  <si>
    <t xml:space="preserve">    --   'N' otherwise (DISA, DELE, PROF, DQMapping)</t>
  </si>
  <si>
    <t xml:space="preserve">    CASE </t>
  </si>
  <si>
    <t xml:space="preserve">        WHEN C.AMNA_ADD_STATUS = 99 AND C.AMNA_STATUS = 0 THEN 'Y' </t>
  </si>
  <si>
    <t xml:space="preserve">        ELSE 'N' </t>
  </si>
  <si>
    <t xml:space="preserve">    END AS IS_ACTIVE_IN_SOURCE_FLAG,</t>
  </si>
  <si>
    <t xml:space="preserve">    -- #17-24: SCD2/AUDIT FRAMEWORK FIELDS (RW Ignore - dbt managed)</t>
  </si>
  <si>
    <t xml:space="preserve">    -- These are NOT sourced from V10. Managed by dbt SCD2 framework.</t>
  </si>
  <si>
    <t xml:space="preserve">    NULL AS IS_CURRENT_FLAG,</t>
  </si>
  <si>
    <t xml:space="preserve">    NULL AS IS_DELETED_FLAG,</t>
  </si>
  <si>
    <t xml:space="preserve">    NULL AS VALID_FROM_DATETIME,</t>
  </si>
  <si>
    <t xml:space="preserve">    NULL AS VALID_TO_DATETIME,</t>
  </si>
  <si>
    <t xml:space="preserve">    NULL AS BUSINESS_DATA_HASH,</t>
  </si>
  <si>
    <t xml:space="preserve">    NULL AS AUDIT_CREATED_DATETIME,</t>
  </si>
  <si>
    <t xml:space="preserve">    NULL AS AUDIT_LAST_CHANGED_DATETIME,</t>
  </si>
  <si>
    <t xml:space="preserve">    NULL AS AUDIT_DATA_PROCESS_KEY</t>
  </si>
  <si>
    <t>-- Account Base Segment: status, dates, application number</t>
  </si>
  <si>
    <t xml:space="preserve">    AND CA.AMBX_BS_ORG = ABS.AMBS_ORG</t>
  </si>
  <si>
    <t>LIMIT 100;</t>
  </si>
  <si>
    <t>-- | # | Target Attribute                    | Source Table  | Source Column       | Type     |</t>
  </si>
  <si>
    <t>-- |---|-------------------------------------|---------------|---------------------|----------|</t>
  </si>
  <si>
    <t>-- | 3 | CUSTOMER_STATUS_KEY                 | CUSTOMER      | AMNA_ADD_STATUS +   | DERIVED  |</t>
  </si>
  <si>
    <t>-- |   |                                     |               | AMNA_STATUS         |          |</t>
  </si>
  <si>
    <t>-- | 4 | APPLICATION_NUMBER                  | ACCT_BASE_SEG | AMBS_APS_ACCT       | DIRECT   |</t>
  </si>
  <si>
    <t>-- | 5 | CUSTOMER_ID                         | CUSTOMER      | AMNA_ACCT           | DIRECT   |</t>
  </si>
  <si>
    <t>-- | 6 | CLV_ID                              | -             | -                   | N/A      |</t>
  </si>
  <si>
    <t>-- | 7 | TITLE                               | CUSTOMER      | AMNA_TITLE_01       | DIRECT   |</t>
  </si>
  <si>
    <t>-- | 8 | FIRST_NAME                          | CUSTOMER      | AMNA_FIRST_NAME_01  | DIRECT   |</t>
  </si>
  <si>
    <t>-- | 9 | MIDDLE_NAME                         | CUSTOMER      | AMNA_MIDDLE_NAME_01 | DIRECT   |</t>
  </si>
  <si>
    <t>-- |10 | SURNAME                             | CUSTOMER      | AMNA_LAST_NAME_01   | DIRECT   |</t>
  </si>
  <si>
    <t>-- |11 | DATE_OF_BIRTH                       | CUSTOMER      | AMNA_DOB_01         | DIRECT   |</t>
  </si>
  <si>
    <t>-- |12 | EXTERNAL_ID                         | CUSTOMER      | AMNA_SSAN_01        | DIRECT   |</t>
  </si>
  <si>
    <t>-- |13 | EXTERNAL_IDENTIFICATION_TYPE        | -             | -                   | CONSTANT |</t>
  </si>
  <si>
    <t>-- |14 | CREATED_DATETIME                    | ACCT_BASE_SEG | AMBS_DATE_OPENED    | DIRECT   |</t>
  </si>
  <si>
    <t>-- |15 | UPDATED_DATETIME                    | CUSTOMER      | AMNA_DATE_LAST_MAINT| DIRECT   |</t>
  </si>
  <si>
    <t>-- |16 | IS_ACTIVE_IN_SOURCE_FLAG            | CUSTOMER      | AMNA_ADD_STATUS +   | DERIVED  |</t>
  </si>
  <si>
    <t>-- |   |                                     |               | AMNA_STATUS (Y/N)   |          |</t>
  </si>
  <si>
    <t>-- |17 | IS_CURRENT_FLAG                     | -             | -                   | IGNORE   |</t>
  </si>
  <si>
    <t>-- |18 | IS_DELETED_FLAG                     | -             | -                   | IGNORE   |</t>
  </si>
  <si>
    <t>-- |19 | VALID_FROM_DATETIME                 | -             | -                   | IGNORE   |</t>
  </si>
  <si>
    <t>-- |20 | VALID_TO_DATETIME                   | -             | -                   | IGNORE   |</t>
  </si>
  <si>
    <t>-- |21 | BUSINESS_DATA_HASH                  | -             | -                   | IGNORE   |</t>
  </si>
  <si>
    <t>-- |22 | AUDIT_CREATED_DATETIME              | -             | -                   | IGNORE   |</t>
  </si>
  <si>
    <t>-- |23 | AUDIT_LAST_CHANGED_DATETIME         | -             | -                   | IGNORE   |</t>
  </si>
  <si>
    <t>-- |24 | AUDIT_DATA_PROCESS_KEY              | -             | -                   | IGNORE   |</t>
  </si>
  <si>
    <t>-- OPEN QUESTIONS / ACTION ITEMS:</t>
  </si>
  <si>
    <t>-- 1. CLV_ID: No source in V10. Is this sourced from another system (e.g., CRM)?</t>
  </si>
  <si>
    <t>-- 2. CUSTOMER_STATUS_KEY: RESOLVED - Uses AMNA_ADD_STATUS + AMNA_STATUS per FD.</t>
  </si>
  <si>
    <t>--    PURG has no V10 source equivalent. 3 records map to DQMapping (AMNA_STATUS=9).</t>
  </si>
  <si>
    <t>-- 3. EXTERNAL_ID: 99.9% NULL - is this expected? Should we use a different field?</t>
  </si>
  <si>
    <t>-- 4. TITLE: Contains non-standard values (ATM, FC, BUDGET ADVISOR) - cleansing needed?</t>
  </si>
  <si>
    <t>-- 5. Join cardinality: Does CUSTOMER_ACCOUNT create 1:many? Need dedup strategy?</t>
  </si>
  <si>
    <t>Reference_Attribute</t>
  </si>
  <si>
    <t>Change_Control</t>
  </si>
  <si>
    <t>CARD_CUSTOMER_V10_Source_To_Target_Mapping</t>
  </si>
  <si>
    <t>CARD_CUSTOMER</t>
  </si>
  <si>
    <t>CARD_CUSTOMER_KEY</t>
  </si>
  <si>
    <t>CARD_CUSTOMER_BUSINESS_KEY</t>
  </si>
  <si>
    <t xml:space="preserve">    -- #1 CARD_CUSTOMER_KEY (Surrogate Key)</t>
  </si>
  <si>
    <t xml:space="preserve">    NULL AS CARD_CUSTOMER_KEY,</t>
  </si>
  <si>
    <t xml:space="preserve">    -- #2 CARD_CUSTOMER_BUSINESS_KEY</t>
  </si>
  <si>
    <t xml:space="preserve">    MD5(C.AMNA_ORG || '-' || C.AMNA_ACCT) AS CARD_CUSTOMER_BUSINESS_KEY,</t>
  </si>
  <si>
    <t>-- | 1 | CARD_CUSTOMER_KEY            | -             | -                   | DERIVED  |</t>
  </si>
  <si>
    <t>-- | 2 | CARD_CUSTOMER_BUSINESS_KEY   | CUSTOMER      | AMNA_ORG + AMNA_ACCT| DERIVED  |</t>
  </si>
  <si>
    <t>AUDIT_CREATED_SOURCE</t>
  </si>
  <si>
    <t>The source for creating the record. This can be an application, change id and so on.</t>
  </si>
  <si>
    <t>AUDIT_LAST_CHANGED_SOURCE</t>
  </si>
  <si>
    <t>The source for updating the record. This can be an application, change id and so on. On creation, this will be the same as Audit Create Source.</t>
  </si>
  <si>
    <t>20260821 RW: Added</t>
  </si>
  <si>
    <t>Add new *SOURCE audit fields</t>
  </si>
  <si>
    <t>CASE
        WHEN AMNA_ADD_STATUS != 99 THEN '9999'
        WHEN AMNA_STATUS = 0 THEN '0'
        WHEN AMNA_STATUS = 1 THEN '1'
        WHEN AMNA_STATUS = 2 THEN '2'
        ELSE 'DQMapping'
    END AS CUSTOMER_STATUS_CODE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</si>
</sst>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1"/>
    <xf numFmtId="0" fontId="0" fillId="0" borderId="0" xfId="0" quotePrefix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171450</xdr:rowOff>
    </xdr:from>
    <xdr:to>
      <xdr:col>8</xdr:col>
      <xdr:colOff>6350</xdr:colOff>
      <xdr:row>32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303892-849D-2922-EAC6-6EBCB778E46B}"/>
            </a:ext>
          </a:extLst>
        </xdr:cNvPr>
        <xdr:cNvSpPr/>
      </xdr:nvSpPr>
      <xdr:spPr>
        <a:xfrm>
          <a:off x="30353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Bronze</a:t>
          </a:r>
        </a:p>
      </xdr:txBody>
    </xdr:sp>
    <xdr:clientData/>
  </xdr:twoCellAnchor>
  <xdr:twoCellAnchor>
    <xdr:from>
      <xdr:col>1</xdr:col>
      <xdr:colOff>0</xdr:colOff>
      <xdr:row>2</xdr:row>
      <xdr:rowOff>9525</xdr:rowOff>
    </xdr:from>
    <xdr:to>
      <xdr:col>4</xdr:col>
      <xdr:colOff>19050</xdr:colOff>
      <xdr:row>32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92CD9-4AAE-0705-6C63-1EACF964D953}"/>
            </a:ext>
          </a:extLst>
        </xdr:cNvPr>
        <xdr:cNvSpPr/>
      </xdr:nvSpPr>
      <xdr:spPr>
        <a:xfrm>
          <a:off x="609600" y="37147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Source System</a:t>
          </a:r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12</xdr:col>
      <xdr:colOff>19050</xdr:colOff>
      <xdr:row>32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8A8C69-8E6E-6BF1-886A-D6E65864FB2F}"/>
            </a:ext>
          </a:extLst>
        </xdr:cNvPr>
        <xdr:cNvSpPr/>
      </xdr:nvSpPr>
      <xdr:spPr>
        <a:xfrm>
          <a:off x="54864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Core</a:t>
          </a:r>
        </a:p>
      </xdr:txBody>
    </xdr:sp>
    <xdr:clientData/>
  </xdr:twoCellAnchor>
  <xdr:twoCellAnchor>
    <xdr:from>
      <xdr:col>13</xdr:col>
      <xdr:colOff>19050</xdr:colOff>
      <xdr:row>2</xdr:row>
      <xdr:rowOff>0</xdr:rowOff>
    </xdr:from>
    <xdr:to>
      <xdr:col>16</xdr:col>
      <xdr:colOff>38100</xdr:colOff>
      <xdr:row>32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94005-273F-6882-E537-9A5D3015AB3C}"/>
            </a:ext>
          </a:extLst>
        </xdr:cNvPr>
        <xdr:cNvSpPr/>
      </xdr:nvSpPr>
      <xdr:spPr>
        <a:xfrm>
          <a:off x="7943850" y="361950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Insight</a:t>
          </a:r>
        </a:p>
      </xdr:txBody>
    </xdr:sp>
    <xdr:clientData/>
  </xdr:twoCellAnchor>
  <xdr:twoCellAnchor>
    <xdr:from>
      <xdr:col>9</xdr:col>
      <xdr:colOff>38100</xdr:colOff>
      <xdr:row>9</xdr:row>
      <xdr:rowOff>133350</xdr:rowOff>
    </xdr:from>
    <xdr:to>
      <xdr:col>11</xdr:col>
      <xdr:colOff>600075</xdr:colOff>
      <xdr:row>11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BD12AF-6556-6426-B17D-9DCBCAD39E8C}"/>
            </a:ext>
          </a:extLst>
        </xdr:cNvPr>
        <xdr:cNvSpPr/>
      </xdr:nvSpPr>
      <xdr:spPr>
        <a:xfrm>
          <a:off x="5524500" y="1762125"/>
          <a:ext cx="1781175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CREDIT_CARD_CUSTOMER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atitudefs.atlassian.net/browse/DM-6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E2AE-532F-428B-9EFB-29561D04A980}">
  <dimension ref="A1:D40"/>
  <sheetViews>
    <sheetView workbookViewId="0">
      <selection activeCell="B4" sqref="B4"/>
    </sheetView>
  </sheetViews>
  <sheetFormatPr defaultColWidth="8.7109375" defaultRowHeight="15" x14ac:dyDescent="0.25"/>
  <cols>
    <col min="1" max="1" width="16.140625" style="1" customWidth="1"/>
    <col min="2" max="2" width="76.5703125" style="1" customWidth="1"/>
    <col min="3" max="3" width="21.42578125" style="1" bestFit="1" customWidth="1"/>
    <col min="4" max="4" width="48.42578125" style="1" customWidth="1"/>
    <col min="5" max="16384" width="8.7109375" style="1"/>
  </cols>
  <sheetData>
    <row r="1" spans="1:4" x14ac:dyDescent="0.25">
      <c r="A1" s="4" t="s">
        <v>0</v>
      </c>
      <c r="B1" s="4" t="s">
        <v>327</v>
      </c>
    </row>
    <row r="2" spans="1:4" ht="60" x14ac:dyDescent="0.25">
      <c r="A2" s="4" t="s">
        <v>1</v>
      </c>
      <c r="B2" s="3" t="s">
        <v>2</v>
      </c>
    </row>
    <row r="3" spans="1:4" ht="45" x14ac:dyDescent="0.25">
      <c r="A3" s="4" t="s">
        <v>3</v>
      </c>
      <c r="B3" s="3" t="s">
        <v>4</v>
      </c>
    </row>
    <row r="4" spans="1:4" ht="167.45" customHeight="1" x14ac:dyDescent="0.25">
      <c r="A4" s="4" t="s">
        <v>5</v>
      </c>
      <c r="B4" s="3" t="s">
        <v>6</v>
      </c>
    </row>
    <row r="6" spans="1:4" x14ac:dyDescent="0.25">
      <c r="A6" s="4" t="s">
        <v>7</v>
      </c>
      <c r="B6" s="4" t="s">
        <v>3</v>
      </c>
      <c r="C6" s="4" t="s">
        <v>8</v>
      </c>
      <c r="D6" s="4" t="s">
        <v>3</v>
      </c>
    </row>
    <row r="7" spans="1:4" x14ac:dyDescent="0.25">
      <c r="A7" s="1" t="s">
        <v>9</v>
      </c>
      <c r="B7" s="1" t="s">
        <v>10</v>
      </c>
      <c r="C7" s="1" t="s">
        <v>11</v>
      </c>
      <c r="D7" s="1" t="s">
        <v>12</v>
      </c>
    </row>
    <row r="8" spans="1:4" ht="75" x14ac:dyDescent="0.25">
      <c r="C8" s="1" t="s">
        <v>13</v>
      </c>
      <c r="D8" s="3" t="s">
        <v>14</v>
      </c>
    </row>
    <row r="9" spans="1:4" x14ac:dyDescent="0.25">
      <c r="C9" s="1" t="s">
        <v>3</v>
      </c>
      <c r="D9" s="1" t="s">
        <v>15</v>
      </c>
    </row>
    <row r="10" spans="1:4" x14ac:dyDescent="0.25">
      <c r="C10" s="1" t="s">
        <v>16</v>
      </c>
      <c r="D10" s="1" t="s">
        <v>17</v>
      </c>
    </row>
    <row r="11" spans="1:4" x14ac:dyDescent="0.25">
      <c r="A11" s="1" t="s">
        <v>18</v>
      </c>
      <c r="B11" s="1" t="s">
        <v>19</v>
      </c>
    </row>
    <row r="12" spans="1:4" ht="60" x14ac:dyDescent="0.25">
      <c r="A12" s="1" t="s">
        <v>20</v>
      </c>
      <c r="B12" s="1" t="s">
        <v>21</v>
      </c>
      <c r="C12" s="1" t="s">
        <v>9</v>
      </c>
      <c r="D12" s="3" t="s">
        <v>22</v>
      </c>
    </row>
    <row r="13" spans="1:4" x14ac:dyDescent="0.25">
      <c r="C13" s="1" t="s">
        <v>23</v>
      </c>
      <c r="D13" s="1" t="s">
        <v>24</v>
      </c>
    </row>
    <row r="14" spans="1:4" x14ac:dyDescent="0.25">
      <c r="C14" s="1" t="s">
        <v>25</v>
      </c>
      <c r="D14" s="1" t="s">
        <v>26</v>
      </c>
    </row>
    <row r="15" spans="1:4" x14ac:dyDescent="0.25">
      <c r="C15" s="1" t="s">
        <v>27</v>
      </c>
      <c r="D15" s="1" t="s">
        <v>28</v>
      </c>
    </row>
    <row r="16" spans="1:4" x14ac:dyDescent="0.25">
      <c r="C16" s="1" t="s">
        <v>29</v>
      </c>
      <c r="D16" s="1" t="s">
        <v>30</v>
      </c>
    </row>
    <row r="17" spans="3:4" x14ac:dyDescent="0.25">
      <c r="C17" s="1" t="s">
        <v>31</v>
      </c>
      <c r="D17" s="1" t="s">
        <v>32</v>
      </c>
    </row>
    <row r="18" spans="3:4" x14ac:dyDescent="0.25">
      <c r="C18" s="1" t="s">
        <v>33</v>
      </c>
      <c r="D18" s="1" t="s">
        <v>34</v>
      </c>
    </row>
    <row r="19" spans="3:4" x14ac:dyDescent="0.25">
      <c r="C19" s="1" t="s">
        <v>35</v>
      </c>
      <c r="D19" s="1" t="s">
        <v>36</v>
      </c>
    </row>
    <row r="20" spans="3:4" ht="60" x14ac:dyDescent="0.25">
      <c r="C20" s="1" t="s">
        <v>37</v>
      </c>
      <c r="D20" s="3" t="s">
        <v>38</v>
      </c>
    </row>
    <row r="21" spans="3:4" x14ac:dyDescent="0.25">
      <c r="C21" s="1" t="s">
        <v>39</v>
      </c>
      <c r="D21" s="1" t="s">
        <v>40</v>
      </c>
    </row>
    <row r="22" spans="3:4" ht="120" x14ac:dyDescent="0.25">
      <c r="C22" s="1" t="s">
        <v>41</v>
      </c>
      <c r="D22" s="3" t="s">
        <v>42</v>
      </c>
    </row>
    <row r="23" spans="3:4" x14ac:dyDescent="0.25">
      <c r="C23" s="1" t="s">
        <v>43</v>
      </c>
      <c r="D23" s="1" t="s">
        <v>44</v>
      </c>
    </row>
    <row r="24" spans="3:4" x14ac:dyDescent="0.25">
      <c r="C24" s="1" t="s">
        <v>45</v>
      </c>
      <c r="D24" s="1" t="s">
        <v>46</v>
      </c>
    </row>
    <row r="25" spans="3:4" x14ac:dyDescent="0.25">
      <c r="C25" s="1" t="s">
        <v>47</v>
      </c>
      <c r="D25" s="1" t="s">
        <v>48</v>
      </c>
    </row>
    <row r="26" spans="3:4" x14ac:dyDescent="0.25">
      <c r="C26" s="1" t="s">
        <v>49</v>
      </c>
      <c r="D26" s="1" t="s">
        <v>50</v>
      </c>
    </row>
    <row r="27" spans="3:4" x14ac:dyDescent="0.25">
      <c r="C27" s="1" t="s">
        <v>51</v>
      </c>
      <c r="D27" s="1" t="s">
        <v>52</v>
      </c>
    </row>
    <row r="28" spans="3:4" x14ac:dyDescent="0.25">
      <c r="C28" s="1" t="s">
        <v>53</v>
      </c>
      <c r="D28" s="1" t="s">
        <v>54</v>
      </c>
    </row>
    <row r="29" spans="3:4" ht="45" x14ac:dyDescent="0.25">
      <c r="C29" s="1" t="s">
        <v>55</v>
      </c>
      <c r="D29" s="3" t="s">
        <v>56</v>
      </c>
    </row>
    <row r="30" spans="3:4" ht="30" x14ac:dyDescent="0.25">
      <c r="C30" s="1" t="s">
        <v>57</v>
      </c>
      <c r="D30" s="3" t="s">
        <v>58</v>
      </c>
    </row>
    <row r="31" spans="3:4" ht="30" x14ac:dyDescent="0.25">
      <c r="C31" s="1" t="s">
        <v>59</v>
      </c>
      <c r="D31" s="3" t="s">
        <v>60</v>
      </c>
    </row>
    <row r="32" spans="3:4" ht="30" x14ac:dyDescent="0.25">
      <c r="C32" s="1" t="s">
        <v>61</v>
      </c>
      <c r="D32" s="3" t="s">
        <v>62</v>
      </c>
    </row>
    <row r="33" spans="3:4" ht="75" x14ac:dyDescent="0.25">
      <c r="C33" s="1" t="s">
        <v>63</v>
      </c>
      <c r="D33" s="3" t="s">
        <v>64</v>
      </c>
    </row>
    <row r="34" spans="3:4" x14ac:dyDescent="0.25">
      <c r="C34" s="1" t="s">
        <v>65</v>
      </c>
      <c r="D34" s="1" t="s">
        <v>66</v>
      </c>
    </row>
    <row r="35" spans="3:4" x14ac:dyDescent="0.25">
      <c r="C35" s="1" t="s">
        <v>67</v>
      </c>
      <c r="D35" s="1" t="s">
        <v>66</v>
      </c>
    </row>
    <row r="36" spans="3:4" x14ac:dyDescent="0.25">
      <c r="C36" s="1" t="s">
        <v>68</v>
      </c>
      <c r="D36" s="1" t="s">
        <v>66</v>
      </c>
    </row>
    <row r="37" spans="3:4" x14ac:dyDescent="0.25">
      <c r="C37" s="1" t="s">
        <v>69</v>
      </c>
      <c r="D37" s="1" t="s">
        <v>66</v>
      </c>
    </row>
    <row r="38" spans="3:4" x14ac:dyDescent="0.25">
      <c r="C38" s="1" t="s">
        <v>70</v>
      </c>
      <c r="D38" s="1" t="s">
        <v>66</v>
      </c>
    </row>
    <row r="39" spans="3:4" x14ac:dyDescent="0.25">
      <c r="C39" s="1" t="s">
        <v>71</v>
      </c>
    </row>
    <row r="40" spans="3:4" x14ac:dyDescent="0.25">
      <c r="C40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F86-0367-433C-BE80-A517E4B9E4E3}">
  <dimension ref="A1:D5"/>
  <sheetViews>
    <sheetView workbookViewId="0">
      <selection activeCell="A5" sqref="A5"/>
    </sheetView>
  </sheetViews>
  <sheetFormatPr defaultColWidth="8.7109375" defaultRowHeight="15" x14ac:dyDescent="0.25"/>
  <cols>
    <col min="1" max="1" width="14.28515625" style="1" bestFit="1" customWidth="1"/>
    <col min="2" max="2" width="13.42578125" style="1" bestFit="1" customWidth="1"/>
    <col min="3" max="3" width="14.5703125" style="1" bestFit="1" customWidth="1"/>
    <col min="4" max="4" width="49.140625" style="1" bestFit="1" customWidth="1"/>
    <col min="5" max="5" width="13.140625" style="1" bestFit="1" customWidth="1"/>
    <col min="6" max="16384" width="8.7109375" style="1"/>
  </cols>
  <sheetData>
    <row r="1" spans="1:4" x14ac:dyDescent="0.25">
      <c r="C1" s="4" t="s">
        <v>9</v>
      </c>
    </row>
    <row r="3" spans="1:4" x14ac:dyDescent="0.25">
      <c r="A3" s="4" t="s">
        <v>11</v>
      </c>
      <c r="B3" s="4" t="s">
        <v>13</v>
      </c>
      <c r="C3" s="4" t="s">
        <v>3</v>
      </c>
      <c r="D3" s="4" t="s">
        <v>16</v>
      </c>
    </row>
    <row r="4" spans="1:4" x14ac:dyDescent="0.25">
      <c r="A4" s="2">
        <v>46196</v>
      </c>
      <c r="B4" s="2" t="s">
        <v>73</v>
      </c>
      <c r="C4" s="1" t="s">
        <v>74</v>
      </c>
      <c r="D4" s="5" t="s">
        <v>75</v>
      </c>
    </row>
    <row r="5" spans="1:4" x14ac:dyDescent="0.25">
      <c r="A5" s="2">
        <v>46246</v>
      </c>
      <c r="B5" s="1" t="s">
        <v>73</v>
      </c>
      <c r="C5" s="1" t="s">
        <v>342</v>
      </c>
    </row>
  </sheetData>
  <hyperlinks>
    <hyperlink ref="D4" r:id="rId1" display="https://latitudefs.atlassian.net/browse/DM-672" xr:uid="{DF01C75D-8ADE-4EAF-90AE-A36109A5D1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C5F3-B767-4CDC-9D6C-3DC22C2F4CEB}">
  <dimension ref="A35"/>
  <sheetViews>
    <sheetView workbookViewId="0">
      <selection activeCell="T16" sqref="T16"/>
    </sheetView>
  </sheetViews>
  <sheetFormatPr defaultRowHeight="15" x14ac:dyDescent="0.25"/>
  <sheetData>
    <row r="35" spans="1:1" x14ac:dyDescent="0.25">
      <c r="A35" t="s">
        <v>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CD92-0141-44F1-8CC1-73F9707C85F8}">
  <dimension ref="A1:AB26"/>
  <sheetViews>
    <sheetView tabSelected="1" zoomScale="85" zoomScaleNormal="85" workbookViewId="0">
      <selection activeCell="M4" sqref="M4"/>
    </sheetView>
  </sheetViews>
  <sheetFormatPr defaultColWidth="8.7109375" defaultRowHeight="15" x14ac:dyDescent="0.25"/>
  <cols>
    <col min="1" max="1" width="14.5703125" style="8" bestFit="1" customWidth="1"/>
    <col min="2" max="2" width="14.28515625" style="8" bestFit="1" customWidth="1"/>
    <col min="3" max="3" width="40.85546875" style="8" customWidth="1"/>
    <col min="4" max="4" width="31" style="8" bestFit="1" customWidth="1"/>
    <col min="5" max="5" width="15.5703125" style="8" bestFit="1" customWidth="1"/>
    <col min="6" max="6" width="80.28515625" style="8" customWidth="1"/>
    <col min="7" max="7" width="15" style="8" customWidth="1"/>
    <col min="8" max="8" width="13.140625" style="8" customWidth="1"/>
    <col min="9" max="9" width="28.7109375" style="8" customWidth="1"/>
    <col min="10" max="10" width="37.28515625" style="8" customWidth="1"/>
    <col min="11" max="11" width="21.5703125" style="8" customWidth="1"/>
    <col min="12" max="12" width="19.140625" style="8" customWidth="1"/>
    <col min="13" max="13" width="37.28515625" style="8" customWidth="1"/>
    <col min="14" max="14" width="6.5703125" style="8" bestFit="1" customWidth="1"/>
    <col min="15" max="15" width="22.7109375" style="8" customWidth="1"/>
    <col min="16" max="16" width="13.85546875" style="8" customWidth="1"/>
    <col min="17" max="17" width="14" style="8" customWidth="1"/>
    <col min="18" max="18" width="24.42578125" style="8" bestFit="1" customWidth="1"/>
    <col min="19" max="19" width="37.28515625" style="8" bestFit="1" customWidth="1"/>
    <col min="20" max="20" width="15" style="8" bestFit="1" customWidth="1"/>
    <col min="21" max="21" width="41.85546875" style="8" customWidth="1"/>
    <col min="22" max="22" width="28.5703125" style="8" customWidth="1"/>
    <col min="23" max="23" width="10.42578125" style="8" bestFit="1" customWidth="1"/>
    <col min="24" max="24" width="13.85546875" style="8" bestFit="1" customWidth="1"/>
    <col min="25" max="25" width="15.140625" style="8" bestFit="1" customWidth="1"/>
    <col min="26" max="26" width="16.28515625" style="8" customWidth="1"/>
    <col min="27" max="27" width="22.5703125" style="8" bestFit="1" customWidth="1"/>
    <col min="28" max="28" width="19.7109375" style="8" customWidth="1"/>
    <col min="29" max="16384" width="8.7109375" style="8"/>
  </cols>
  <sheetData>
    <row r="1" spans="1:28" ht="30" x14ac:dyDescent="0.25">
      <c r="A1" s="7" t="s">
        <v>326</v>
      </c>
      <c r="B1" s="7" t="s">
        <v>23</v>
      </c>
      <c r="C1" s="7" t="s">
        <v>25</v>
      </c>
      <c r="D1" s="7" t="s">
        <v>27</v>
      </c>
      <c r="E1" s="7" t="s">
        <v>29</v>
      </c>
      <c r="F1" s="7" t="s">
        <v>31</v>
      </c>
      <c r="G1" s="7" t="s">
        <v>33</v>
      </c>
      <c r="H1" s="7" t="s">
        <v>35</v>
      </c>
      <c r="I1" s="7" t="s">
        <v>37</v>
      </c>
      <c r="J1" s="7" t="s">
        <v>325</v>
      </c>
      <c r="K1" s="7" t="s">
        <v>39</v>
      </c>
      <c r="L1" s="7" t="s">
        <v>41</v>
      </c>
      <c r="M1" s="7" t="s">
        <v>43</v>
      </c>
      <c r="N1" s="7" t="s">
        <v>71</v>
      </c>
      <c r="O1" s="7" t="s">
        <v>72</v>
      </c>
      <c r="P1" s="7" t="s">
        <v>45</v>
      </c>
      <c r="Q1" s="7" t="s">
        <v>47</v>
      </c>
      <c r="R1" s="7" t="s">
        <v>49</v>
      </c>
      <c r="S1" s="7" t="s">
        <v>51</v>
      </c>
      <c r="T1" s="7" t="s">
        <v>53</v>
      </c>
      <c r="U1" s="7" t="s">
        <v>77</v>
      </c>
      <c r="V1" s="7" t="s">
        <v>78</v>
      </c>
      <c r="W1" s="7" t="s">
        <v>57</v>
      </c>
      <c r="X1" s="7" t="s">
        <v>59</v>
      </c>
      <c r="Y1" s="7" t="s">
        <v>61</v>
      </c>
      <c r="Z1" s="7" t="s">
        <v>79</v>
      </c>
      <c r="AA1" s="7" t="s">
        <v>80</v>
      </c>
      <c r="AB1" s="7" t="s">
        <v>63</v>
      </c>
    </row>
    <row r="2" spans="1:28" x14ac:dyDescent="0.25">
      <c r="B2" s="8" t="s">
        <v>81</v>
      </c>
      <c r="H2" s="8" t="s">
        <v>82</v>
      </c>
      <c r="O2" s="8" t="s">
        <v>83</v>
      </c>
      <c r="P2" s="8" t="s">
        <v>84</v>
      </c>
      <c r="Q2" s="8" t="s">
        <v>85</v>
      </c>
      <c r="R2" s="8" t="s">
        <v>328</v>
      </c>
      <c r="S2" s="8" t="s">
        <v>329</v>
      </c>
      <c r="T2" s="8" t="s">
        <v>86</v>
      </c>
      <c r="W2" s="8" t="b">
        <v>0</v>
      </c>
      <c r="X2" s="8" t="b">
        <v>1</v>
      </c>
      <c r="AA2" s="8" t="s">
        <v>87</v>
      </c>
      <c r="AB2" s="8">
        <v>1</v>
      </c>
    </row>
    <row r="3" spans="1:28" ht="150" x14ac:dyDescent="0.25">
      <c r="B3" s="8" t="s">
        <v>81</v>
      </c>
      <c r="P3" s="8" t="s">
        <v>84</v>
      </c>
      <c r="Q3" s="8" t="s">
        <v>85</v>
      </c>
      <c r="R3" s="8" t="s">
        <v>328</v>
      </c>
      <c r="S3" s="8" t="s">
        <v>330</v>
      </c>
      <c r="T3" s="8" t="s">
        <v>86</v>
      </c>
      <c r="U3" s="8" t="s">
        <v>90</v>
      </c>
      <c r="V3" s="8" t="s">
        <v>90</v>
      </c>
      <c r="W3" s="8" t="b">
        <v>0</v>
      </c>
      <c r="X3" s="8" t="b">
        <v>0</v>
      </c>
      <c r="AA3" s="8" t="s">
        <v>87</v>
      </c>
      <c r="AB3" s="8">
        <v>1</v>
      </c>
    </row>
    <row r="4" spans="1:28" ht="125.25" customHeight="1" x14ac:dyDescent="0.25">
      <c r="B4" s="8" t="s">
        <v>81</v>
      </c>
      <c r="C4" s="8" t="s">
        <v>88</v>
      </c>
      <c r="D4" s="9" t="s">
        <v>165</v>
      </c>
      <c r="E4" s="8" t="s">
        <v>89</v>
      </c>
      <c r="I4" s="8" t="s">
        <v>166</v>
      </c>
      <c r="J4" s="8" t="s">
        <v>164</v>
      </c>
      <c r="K4" s="8" t="s">
        <v>92</v>
      </c>
      <c r="L4" s="8" t="s">
        <v>93</v>
      </c>
      <c r="M4" s="8" t="s">
        <v>343</v>
      </c>
      <c r="P4" s="8" t="s">
        <v>84</v>
      </c>
      <c r="Q4" s="8" t="s">
        <v>85</v>
      </c>
      <c r="R4" s="8" t="s">
        <v>328</v>
      </c>
      <c r="S4" s="8" t="s">
        <v>94</v>
      </c>
      <c r="T4" s="8" t="s">
        <v>86</v>
      </c>
      <c r="W4" s="8" t="b">
        <v>0</v>
      </c>
      <c r="X4" s="8" t="b">
        <v>0</v>
      </c>
      <c r="Z4" s="8" t="s">
        <v>92</v>
      </c>
      <c r="AA4" s="8" t="s">
        <v>87</v>
      </c>
      <c r="AB4" s="8">
        <v>1</v>
      </c>
    </row>
    <row r="5" spans="1:28" ht="30" x14ac:dyDescent="0.25">
      <c r="B5" s="8" t="s">
        <v>81</v>
      </c>
      <c r="C5" s="8" t="s">
        <v>88</v>
      </c>
      <c r="D5" s="8" t="s">
        <v>97</v>
      </c>
      <c r="E5" s="8" t="s">
        <v>89</v>
      </c>
      <c r="P5" s="8" t="s">
        <v>84</v>
      </c>
      <c r="Q5" s="8" t="s">
        <v>85</v>
      </c>
      <c r="R5" s="8" t="s">
        <v>328</v>
      </c>
      <c r="S5" s="8" t="s">
        <v>98</v>
      </c>
      <c r="T5" s="8" t="s">
        <v>99</v>
      </c>
      <c r="U5" s="8" t="s">
        <v>100</v>
      </c>
      <c r="V5" s="8" t="s">
        <v>100</v>
      </c>
      <c r="W5" s="8" t="b">
        <v>0</v>
      </c>
      <c r="X5" s="8" t="b">
        <v>0</v>
      </c>
      <c r="Y5" s="8" t="s">
        <v>92</v>
      </c>
      <c r="AA5" s="8" t="s">
        <v>87</v>
      </c>
      <c r="AB5" s="8">
        <v>1</v>
      </c>
    </row>
    <row r="6" spans="1:28" ht="90" x14ac:dyDescent="0.25">
      <c r="A6" s="11" t="s">
        <v>101</v>
      </c>
      <c r="B6" s="8" t="s">
        <v>81</v>
      </c>
      <c r="H6" s="8" t="s">
        <v>98</v>
      </c>
      <c r="P6" s="8" t="s">
        <v>84</v>
      </c>
      <c r="Q6" s="8" t="s">
        <v>85</v>
      </c>
      <c r="R6" s="8" t="s">
        <v>328</v>
      </c>
      <c r="S6" s="8" t="s">
        <v>163</v>
      </c>
      <c r="T6" s="8" t="s">
        <v>99</v>
      </c>
      <c r="U6" s="8" t="s">
        <v>102</v>
      </c>
      <c r="V6" s="8" t="s">
        <v>102</v>
      </c>
      <c r="W6" s="8" t="b">
        <v>0</v>
      </c>
      <c r="X6" s="8" t="b">
        <v>0</v>
      </c>
      <c r="Z6" s="8" t="s">
        <v>92</v>
      </c>
      <c r="AA6" s="8" t="s">
        <v>87</v>
      </c>
      <c r="AB6" s="8">
        <v>1</v>
      </c>
    </row>
    <row r="7" spans="1:28" ht="30" x14ac:dyDescent="0.25">
      <c r="B7" s="8" t="s">
        <v>81</v>
      </c>
      <c r="C7" s="8" t="s">
        <v>88</v>
      </c>
      <c r="D7" s="8" t="s">
        <v>103</v>
      </c>
      <c r="E7" s="8" t="s">
        <v>89</v>
      </c>
      <c r="P7" s="8" t="s">
        <v>84</v>
      </c>
      <c r="Q7" s="8" t="s">
        <v>85</v>
      </c>
      <c r="R7" s="8" t="s">
        <v>328</v>
      </c>
      <c r="S7" s="8" t="s">
        <v>104</v>
      </c>
      <c r="T7" s="8" t="s">
        <v>105</v>
      </c>
      <c r="U7" s="8" t="s">
        <v>106</v>
      </c>
      <c r="V7" s="8" t="s">
        <v>106</v>
      </c>
      <c r="W7" s="8" t="b">
        <v>1</v>
      </c>
      <c r="X7" s="8" t="b">
        <v>0</v>
      </c>
      <c r="Z7" s="8" t="s">
        <v>92</v>
      </c>
      <c r="AA7" s="8" t="s">
        <v>87</v>
      </c>
      <c r="AB7" s="8">
        <v>1</v>
      </c>
    </row>
    <row r="8" spans="1:28" x14ac:dyDescent="0.25">
      <c r="B8" s="8" t="s">
        <v>81</v>
      </c>
      <c r="C8" s="8" t="s">
        <v>88</v>
      </c>
      <c r="D8" s="8" t="s">
        <v>107</v>
      </c>
      <c r="E8" s="8" t="s">
        <v>89</v>
      </c>
      <c r="P8" s="8" t="s">
        <v>84</v>
      </c>
      <c r="Q8" s="8" t="s">
        <v>85</v>
      </c>
      <c r="R8" s="8" t="s">
        <v>328</v>
      </c>
      <c r="S8" s="8" t="s">
        <v>108</v>
      </c>
      <c r="T8" s="8" t="s">
        <v>109</v>
      </c>
      <c r="U8" s="8" t="s">
        <v>110</v>
      </c>
      <c r="V8" s="8" t="s">
        <v>110</v>
      </c>
      <c r="W8" s="8" t="b">
        <v>1</v>
      </c>
      <c r="X8" s="8" t="b">
        <v>0</v>
      </c>
      <c r="Z8" s="8" t="s">
        <v>92</v>
      </c>
      <c r="AA8" s="8" t="s">
        <v>111</v>
      </c>
      <c r="AB8" s="8">
        <v>1</v>
      </c>
    </row>
    <row r="9" spans="1:28" x14ac:dyDescent="0.25">
      <c r="B9" s="8" t="s">
        <v>81</v>
      </c>
      <c r="C9" s="8" t="s">
        <v>88</v>
      </c>
      <c r="D9" s="8" t="s">
        <v>112</v>
      </c>
      <c r="E9" s="8" t="s">
        <v>89</v>
      </c>
      <c r="P9" s="8" t="s">
        <v>84</v>
      </c>
      <c r="Q9" s="8" t="s">
        <v>85</v>
      </c>
      <c r="R9" s="8" t="s">
        <v>328</v>
      </c>
      <c r="S9" s="8" t="s">
        <v>113</v>
      </c>
      <c r="T9" s="8" t="s">
        <v>109</v>
      </c>
      <c r="U9" s="8" t="s">
        <v>114</v>
      </c>
      <c r="V9" s="8" t="s">
        <v>114</v>
      </c>
      <c r="W9" s="8" t="b">
        <v>1</v>
      </c>
      <c r="X9" s="8" t="b">
        <v>0</v>
      </c>
      <c r="Z9" s="8" t="s">
        <v>92</v>
      </c>
      <c r="AA9" s="8" t="s">
        <v>87</v>
      </c>
      <c r="AB9" s="8">
        <v>1</v>
      </c>
    </row>
    <row r="10" spans="1:28" x14ac:dyDescent="0.25">
      <c r="B10" s="8" t="s">
        <v>81</v>
      </c>
      <c r="C10" s="8" t="s">
        <v>88</v>
      </c>
      <c r="D10" s="8" t="s">
        <v>115</v>
      </c>
      <c r="E10" s="8" t="s">
        <v>89</v>
      </c>
      <c r="P10" s="8" t="s">
        <v>84</v>
      </c>
      <c r="Q10" s="8" t="s">
        <v>85</v>
      </c>
      <c r="R10" s="8" t="s">
        <v>328</v>
      </c>
      <c r="S10" s="8" t="s">
        <v>116</v>
      </c>
      <c r="T10" s="8" t="s">
        <v>109</v>
      </c>
      <c r="U10" s="8" t="s">
        <v>117</v>
      </c>
      <c r="V10" s="8" t="s">
        <v>117</v>
      </c>
      <c r="W10" s="8" t="b">
        <v>1</v>
      </c>
      <c r="X10" s="8" t="b">
        <v>0</v>
      </c>
      <c r="Z10" s="8" t="s">
        <v>92</v>
      </c>
      <c r="AA10" s="8" t="s">
        <v>111</v>
      </c>
      <c r="AB10" s="8">
        <v>1</v>
      </c>
    </row>
    <row r="11" spans="1:28" ht="30" x14ac:dyDescent="0.25">
      <c r="B11" s="8" t="s">
        <v>81</v>
      </c>
      <c r="C11" s="8" t="s">
        <v>88</v>
      </c>
      <c r="D11" s="8" t="s">
        <v>118</v>
      </c>
      <c r="E11" s="8" t="s">
        <v>119</v>
      </c>
      <c r="P11" s="8" t="s">
        <v>84</v>
      </c>
      <c r="Q11" s="8" t="s">
        <v>85</v>
      </c>
      <c r="R11" s="8" t="s">
        <v>328</v>
      </c>
      <c r="S11" s="8" t="s">
        <v>120</v>
      </c>
      <c r="T11" s="8" t="s">
        <v>119</v>
      </c>
      <c r="U11" s="8" t="s">
        <v>121</v>
      </c>
      <c r="V11" s="8" t="s">
        <v>121</v>
      </c>
      <c r="W11" s="8" t="b">
        <v>1</v>
      </c>
      <c r="X11" s="8" t="b">
        <v>0</v>
      </c>
      <c r="Z11" s="8" t="s">
        <v>92</v>
      </c>
      <c r="AA11" s="8" t="s">
        <v>122</v>
      </c>
      <c r="AB11" s="8">
        <v>1</v>
      </c>
    </row>
    <row r="12" spans="1:28" ht="17.100000000000001" customHeight="1" x14ac:dyDescent="0.25">
      <c r="B12" s="8" t="s">
        <v>81</v>
      </c>
      <c r="H12" s="8" t="s">
        <v>168</v>
      </c>
      <c r="O12" s="8" t="s">
        <v>123</v>
      </c>
      <c r="P12" s="8" t="s">
        <v>84</v>
      </c>
      <c r="Q12" s="8" t="s">
        <v>85</v>
      </c>
      <c r="R12" s="8" t="s">
        <v>328</v>
      </c>
      <c r="S12" s="8" t="s">
        <v>124</v>
      </c>
      <c r="T12" s="8" t="s">
        <v>125</v>
      </c>
      <c r="U12" s="8" t="s">
        <v>126</v>
      </c>
      <c r="V12" s="8" t="s">
        <v>126</v>
      </c>
      <c r="W12" s="8" t="b">
        <v>1</v>
      </c>
      <c r="X12" s="8" t="b">
        <v>0</v>
      </c>
      <c r="Z12" s="8" t="s">
        <v>92</v>
      </c>
      <c r="AA12" s="8" t="s">
        <v>87</v>
      </c>
      <c r="AB12" s="8">
        <v>1</v>
      </c>
    </row>
    <row r="13" spans="1:28" ht="105" x14ac:dyDescent="0.25">
      <c r="H13" s="8" t="s">
        <v>127</v>
      </c>
      <c r="J13" s="10"/>
      <c r="M13" s="10"/>
      <c r="O13" s="8" t="s">
        <v>128</v>
      </c>
      <c r="P13" s="8" t="s">
        <v>84</v>
      </c>
      <c r="Q13" s="8" t="s">
        <v>85</v>
      </c>
      <c r="R13" s="8" t="s">
        <v>328</v>
      </c>
      <c r="S13" s="8" t="s">
        <v>129</v>
      </c>
      <c r="T13" s="8" t="s">
        <v>125</v>
      </c>
      <c r="U13" s="8" t="s">
        <v>130</v>
      </c>
      <c r="V13" s="8" t="s">
        <v>130</v>
      </c>
      <c r="W13" s="8" t="b">
        <v>1</v>
      </c>
      <c r="X13" s="8" t="b">
        <v>0</v>
      </c>
      <c r="Z13" s="8" t="s">
        <v>92</v>
      </c>
      <c r="AA13" s="8" t="s">
        <v>87</v>
      </c>
      <c r="AB13" s="8">
        <v>1</v>
      </c>
    </row>
    <row r="14" spans="1:28" ht="165" x14ac:dyDescent="0.25">
      <c r="B14" s="8" t="s">
        <v>81</v>
      </c>
      <c r="C14" s="8" t="s">
        <v>91</v>
      </c>
      <c r="D14" s="8" t="s">
        <v>131</v>
      </c>
      <c r="E14" s="8" t="s">
        <v>119</v>
      </c>
      <c r="F14" s="8" t="s">
        <v>167</v>
      </c>
      <c r="P14" s="8" t="s">
        <v>84</v>
      </c>
      <c r="Q14" s="8" t="s">
        <v>85</v>
      </c>
      <c r="R14" s="8" t="s">
        <v>328</v>
      </c>
      <c r="S14" s="8" t="s">
        <v>132</v>
      </c>
      <c r="T14" s="8" t="s">
        <v>119</v>
      </c>
      <c r="U14" s="8" t="s">
        <v>133</v>
      </c>
      <c r="V14" s="8" t="s">
        <v>133</v>
      </c>
      <c r="W14" s="8" t="b">
        <v>1</v>
      </c>
      <c r="X14" s="8" t="b">
        <v>0</v>
      </c>
      <c r="Z14" s="8" t="s">
        <v>92</v>
      </c>
      <c r="AA14" s="8" t="s">
        <v>87</v>
      </c>
      <c r="AB14" s="8">
        <v>1</v>
      </c>
    </row>
    <row r="15" spans="1:28" ht="15.95" customHeight="1" x14ac:dyDescent="0.25">
      <c r="B15" s="8" t="s">
        <v>81</v>
      </c>
      <c r="C15" s="8" t="s">
        <v>88</v>
      </c>
      <c r="D15" s="8" t="s">
        <v>134</v>
      </c>
      <c r="E15" s="8" t="s">
        <v>119</v>
      </c>
      <c r="P15" s="8" t="s">
        <v>84</v>
      </c>
      <c r="Q15" s="8" t="s">
        <v>85</v>
      </c>
      <c r="R15" s="8" t="s">
        <v>328</v>
      </c>
      <c r="S15" s="8" t="s">
        <v>135</v>
      </c>
      <c r="T15" s="8" t="s">
        <v>119</v>
      </c>
      <c r="U15" s="8" t="s">
        <v>136</v>
      </c>
      <c r="V15" s="8" t="s">
        <v>136</v>
      </c>
      <c r="W15" s="8" t="b">
        <v>1</v>
      </c>
      <c r="X15" s="8" t="b">
        <v>0</v>
      </c>
      <c r="Z15" s="8" t="s">
        <v>92</v>
      </c>
      <c r="AA15" s="8" t="s">
        <v>87</v>
      </c>
      <c r="AB15" s="8">
        <v>1</v>
      </c>
    </row>
    <row r="16" spans="1:28" ht="165" x14ac:dyDescent="0.25">
      <c r="A16" s="11" t="s">
        <v>137</v>
      </c>
      <c r="B16" s="8" t="s">
        <v>81</v>
      </c>
      <c r="C16" s="8" t="s">
        <v>91</v>
      </c>
      <c r="D16" s="8" t="s">
        <v>138</v>
      </c>
      <c r="E16" s="8" t="s">
        <v>89</v>
      </c>
      <c r="F16" s="8" t="s">
        <v>167</v>
      </c>
      <c r="M16" s="8" t="s">
        <v>169</v>
      </c>
      <c r="P16" s="8" t="s">
        <v>84</v>
      </c>
      <c r="Q16" s="8" t="s">
        <v>85</v>
      </c>
      <c r="R16" s="8" t="s">
        <v>328</v>
      </c>
      <c r="S16" s="8" t="s">
        <v>139</v>
      </c>
      <c r="T16" s="8" t="s">
        <v>140</v>
      </c>
      <c r="U16" s="8" t="s">
        <v>141</v>
      </c>
      <c r="V16" s="8" t="s">
        <v>142</v>
      </c>
      <c r="W16" s="8" t="b">
        <v>1</v>
      </c>
      <c r="X16" s="8" t="b">
        <v>0</v>
      </c>
      <c r="Z16" s="8" t="s">
        <v>92</v>
      </c>
      <c r="AA16" s="8" t="s">
        <v>87</v>
      </c>
      <c r="AB16" s="8">
        <v>1</v>
      </c>
    </row>
    <row r="17" spans="1:28" ht="45" x14ac:dyDescent="0.25">
      <c r="B17" s="8" t="s">
        <v>81</v>
      </c>
      <c r="O17" s="8" t="s">
        <v>143</v>
      </c>
      <c r="P17" s="8" t="s">
        <v>84</v>
      </c>
      <c r="Q17" s="8" t="s">
        <v>85</v>
      </c>
      <c r="R17" s="8" t="s">
        <v>328</v>
      </c>
      <c r="S17" s="8" t="s">
        <v>144</v>
      </c>
      <c r="T17" s="8" t="s">
        <v>140</v>
      </c>
      <c r="U17" s="8" t="s">
        <v>145</v>
      </c>
      <c r="V17" s="8" t="s">
        <v>145</v>
      </c>
      <c r="W17" s="8" t="b">
        <v>0</v>
      </c>
      <c r="X17" s="8" t="b">
        <v>0</v>
      </c>
      <c r="AA17" s="8" t="s">
        <v>87</v>
      </c>
      <c r="AB17" s="8">
        <v>1</v>
      </c>
    </row>
    <row r="18" spans="1:28" ht="75" x14ac:dyDescent="0.25">
      <c r="B18" s="8" t="s">
        <v>81</v>
      </c>
      <c r="O18" s="8" t="s">
        <v>143</v>
      </c>
      <c r="P18" s="8" t="s">
        <v>84</v>
      </c>
      <c r="Q18" s="8" t="s">
        <v>85</v>
      </c>
      <c r="R18" s="8" t="s">
        <v>328</v>
      </c>
      <c r="S18" s="8" t="s">
        <v>146</v>
      </c>
      <c r="T18" s="8" t="s">
        <v>140</v>
      </c>
      <c r="U18" s="8" t="s">
        <v>147</v>
      </c>
      <c r="V18" s="8" t="s">
        <v>147</v>
      </c>
      <c r="W18" s="8" t="b">
        <v>0</v>
      </c>
      <c r="X18" s="8" t="b">
        <v>0</v>
      </c>
      <c r="AA18" s="8" t="s">
        <v>87</v>
      </c>
      <c r="AB18" s="8">
        <v>1</v>
      </c>
    </row>
    <row r="19" spans="1:28" ht="30" x14ac:dyDescent="0.25">
      <c r="B19" s="8" t="s">
        <v>81</v>
      </c>
      <c r="O19" s="8" t="s">
        <v>143</v>
      </c>
      <c r="P19" s="8" t="s">
        <v>84</v>
      </c>
      <c r="Q19" s="8" t="s">
        <v>85</v>
      </c>
      <c r="R19" s="8" t="s">
        <v>328</v>
      </c>
      <c r="S19" s="8" t="s">
        <v>148</v>
      </c>
      <c r="T19" s="8" t="s">
        <v>119</v>
      </c>
      <c r="U19" s="8" t="s">
        <v>149</v>
      </c>
      <c r="V19" s="8" t="s">
        <v>149</v>
      </c>
      <c r="W19" s="8" t="b">
        <v>0</v>
      </c>
      <c r="X19" s="8" t="b">
        <v>0</v>
      </c>
      <c r="AA19" s="8" t="s">
        <v>87</v>
      </c>
      <c r="AB19" s="8">
        <v>1</v>
      </c>
    </row>
    <row r="20" spans="1:28" ht="45" x14ac:dyDescent="0.25">
      <c r="B20" s="8" t="s">
        <v>81</v>
      </c>
      <c r="O20" s="8" t="s">
        <v>143</v>
      </c>
      <c r="P20" s="8" t="s">
        <v>84</v>
      </c>
      <c r="Q20" s="8" t="s">
        <v>85</v>
      </c>
      <c r="R20" s="8" t="s">
        <v>328</v>
      </c>
      <c r="S20" s="8" t="s">
        <v>150</v>
      </c>
      <c r="T20" s="8" t="s">
        <v>119</v>
      </c>
      <c r="U20" s="8" t="s">
        <v>151</v>
      </c>
      <c r="V20" s="8" t="s">
        <v>151</v>
      </c>
      <c r="W20" s="8" t="b">
        <v>0</v>
      </c>
      <c r="X20" s="8" t="b">
        <v>0</v>
      </c>
      <c r="AA20" s="8" t="s">
        <v>87</v>
      </c>
      <c r="AB20" s="8">
        <v>1</v>
      </c>
    </row>
    <row r="21" spans="1:28" ht="45" x14ac:dyDescent="0.25">
      <c r="B21" s="8" t="s">
        <v>81</v>
      </c>
      <c r="O21" s="8" t="s">
        <v>143</v>
      </c>
      <c r="P21" s="8" t="s">
        <v>84</v>
      </c>
      <c r="Q21" s="8" t="s">
        <v>85</v>
      </c>
      <c r="R21" s="8" t="s">
        <v>328</v>
      </c>
      <c r="S21" s="8" t="s">
        <v>152</v>
      </c>
      <c r="T21" s="8" t="s">
        <v>86</v>
      </c>
      <c r="U21" s="8" t="s">
        <v>153</v>
      </c>
      <c r="V21" s="8" t="s">
        <v>153</v>
      </c>
      <c r="W21" s="8" t="b">
        <v>0</v>
      </c>
      <c r="X21" s="8" t="b">
        <v>0</v>
      </c>
      <c r="AA21" s="8" t="s">
        <v>87</v>
      </c>
      <c r="AB21" s="8">
        <v>1</v>
      </c>
    </row>
    <row r="22" spans="1:28" ht="30" x14ac:dyDescent="0.25">
      <c r="B22" s="8" t="s">
        <v>81</v>
      </c>
      <c r="O22" s="8" t="s">
        <v>143</v>
      </c>
      <c r="P22" s="8" t="s">
        <v>84</v>
      </c>
      <c r="Q22" s="8" t="s">
        <v>85</v>
      </c>
      <c r="R22" s="8" t="s">
        <v>328</v>
      </c>
      <c r="S22" s="8" t="s">
        <v>154</v>
      </c>
      <c r="T22" s="8" t="s">
        <v>119</v>
      </c>
      <c r="U22" s="8" t="s">
        <v>155</v>
      </c>
      <c r="V22" s="8" t="s">
        <v>155</v>
      </c>
      <c r="W22" s="8" t="b">
        <v>0</v>
      </c>
      <c r="X22" s="8" t="b">
        <v>0</v>
      </c>
      <c r="AA22" s="8" t="s">
        <v>87</v>
      </c>
      <c r="AB22" s="8">
        <v>1</v>
      </c>
    </row>
    <row r="23" spans="1:28" ht="75" x14ac:dyDescent="0.25">
      <c r="B23" s="8" t="s">
        <v>81</v>
      </c>
      <c r="O23" s="8" t="s">
        <v>143</v>
      </c>
      <c r="P23" s="8" t="s">
        <v>84</v>
      </c>
      <c r="Q23" s="8" t="s">
        <v>85</v>
      </c>
      <c r="R23" s="8" t="s">
        <v>328</v>
      </c>
      <c r="S23" s="8" t="s">
        <v>156</v>
      </c>
      <c r="T23" s="8" t="s">
        <v>119</v>
      </c>
      <c r="U23" s="8" t="s">
        <v>157</v>
      </c>
      <c r="V23" s="8" t="s">
        <v>157</v>
      </c>
      <c r="W23" s="8" t="b">
        <v>0</v>
      </c>
      <c r="X23" s="8" t="b">
        <v>0</v>
      </c>
      <c r="AA23" s="8" t="s">
        <v>87</v>
      </c>
      <c r="AB23" s="8">
        <v>1</v>
      </c>
    </row>
    <row r="24" spans="1:28" ht="45" x14ac:dyDescent="0.25">
      <c r="B24" s="8" t="s">
        <v>81</v>
      </c>
      <c r="O24" s="8" t="s">
        <v>143</v>
      </c>
      <c r="P24" s="8" t="s">
        <v>84</v>
      </c>
      <c r="Q24" s="8" t="s">
        <v>85</v>
      </c>
      <c r="R24" s="8" t="s">
        <v>328</v>
      </c>
      <c r="S24" s="8" t="s">
        <v>158</v>
      </c>
      <c r="T24" s="8" t="s">
        <v>86</v>
      </c>
      <c r="U24" s="8" t="s">
        <v>159</v>
      </c>
      <c r="V24" s="8" t="s">
        <v>159</v>
      </c>
      <c r="W24" s="8" t="b">
        <v>0</v>
      </c>
      <c r="X24" s="8" t="b">
        <v>0</v>
      </c>
      <c r="AA24" s="8" t="s">
        <v>87</v>
      </c>
      <c r="AB24" s="8">
        <v>1</v>
      </c>
    </row>
    <row r="25" spans="1:28" ht="60" x14ac:dyDescent="0.25">
      <c r="A25" s="12" t="s">
        <v>341</v>
      </c>
      <c r="B25" s="8" t="s">
        <v>81</v>
      </c>
      <c r="R25" s="8" t="s">
        <v>328</v>
      </c>
      <c r="S25" s="8" t="s">
        <v>337</v>
      </c>
      <c r="T25" s="8" t="s">
        <v>160</v>
      </c>
      <c r="U25" s="8" t="s">
        <v>338</v>
      </c>
      <c r="V25" s="8" t="s">
        <v>338</v>
      </c>
      <c r="W25" s="8" t="b">
        <v>0</v>
      </c>
      <c r="X25" s="8" t="b">
        <v>0</v>
      </c>
      <c r="AA25" s="8" t="s">
        <v>87</v>
      </c>
      <c r="AB25" s="8">
        <v>1</v>
      </c>
    </row>
    <row r="26" spans="1:28" ht="90" x14ac:dyDescent="0.25">
      <c r="A26" s="12" t="s">
        <v>341</v>
      </c>
      <c r="B26" s="8" t="s">
        <v>81</v>
      </c>
      <c r="R26" s="8" t="s">
        <v>328</v>
      </c>
      <c r="S26" s="8" t="s">
        <v>339</v>
      </c>
      <c r="T26" s="8" t="s">
        <v>160</v>
      </c>
      <c r="U26" s="8" t="s">
        <v>340</v>
      </c>
      <c r="V26" s="8" t="s">
        <v>340</v>
      </c>
      <c r="W26" s="8" t="b">
        <v>0</v>
      </c>
      <c r="X26" s="8" t="b">
        <v>0</v>
      </c>
      <c r="AA26" s="8" t="s">
        <v>87</v>
      </c>
      <c r="AB26" s="8">
        <v>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BED9-12AF-4AD6-9CED-5F018101593E}">
  <dimension ref="A1:J24"/>
  <sheetViews>
    <sheetView workbookViewId="0">
      <selection activeCell="B15" sqref="B15"/>
    </sheetView>
  </sheetViews>
  <sheetFormatPr defaultRowHeight="15" x14ac:dyDescent="0.25"/>
  <cols>
    <col min="1" max="1" width="23.5703125" bestFit="1" customWidth="1"/>
    <col min="2" max="2" width="37.28515625" bestFit="1" customWidth="1"/>
    <col min="3" max="3" width="15.140625" bestFit="1" customWidth="1"/>
    <col min="4" max="4" width="94.140625" customWidth="1"/>
    <col min="5" max="5" width="81.42578125" customWidth="1"/>
    <col min="6" max="6" width="11" bestFit="1" customWidth="1"/>
    <col min="7" max="7" width="14.28515625" bestFit="1" customWidth="1"/>
    <col min="8" max="8" width="15.42578125" bestFit="1" customWidth="1"/>
    <col min="9" max="9" width="29" bestFit="1" customWidth="1"/>
    <col min="10" max="10" width="9" bestFit="1" customWidth="1"/>
  </cols>
  <sheetData>
    <row r="1" spans="1:10" x14ac:dyDescent="0.25">
      <c r="A1" t="s">
        <v>328</v>
      </c>
      <c r="B1" t="s">
        <v>329</v>
      </c>
      <c r="C1" t="s">
        <v>86</v>
      </c>
      <c r="F1" t="b">
        <v>0</v>
      </c>
      <c r="G1" t="b">
        <v>1</v>
      </c>
      <c r="I1" t="s">
        <v>87</v>
      </c>
      <c r="J1">
        <v>1</v>
      </c>
    </row>
    <row r="2" spans="1:10" x14ac:dyDescent="0.25">
      <c r="A2" t="s">
        <v>328</v>
      </c>
      <c r="B2" t="s">
        <v>330</v>
      </c>
      <c r="C2" t="s">
        <v>160</v>
      </c>
      <c r="D2" t="s">
        <v>90</v>
      </c>
      <c r="E2" t="s">
        <v>90</v>
      </c>
      <c r="F2" t="b">
        <v>0</v>
      </c>
      <c r="G2" t="b">
        <v>0</v>
      </c>
      <c r="I2" t="s">
        <v>87</v>
      </c>
      <c r="J2">
        <v>1</v>
      </c>
    </row>
    <row r="3" spans="1:10" x14ac:dyDescent="0.25">
      <c r="A3" t="s">
        <v>328</v>
      </c>
      <c r="B3" t="s">
        <v>94</v>
      </c>
      <c r="C3" t="s">
        <v>86</v>
      </c>
      <c r="F3" t="b">
        <v>0</v>
      </c>
      <c r="G3" t="b">
        <v>0</v>
      </c>
      <c r="I3" t="s">
        <v>87</v>
      </c>
      <c r="J3">
        <v>1</v>
      </c>
    </row>
    <row r="4" spans="1:10" x14ac:dyDescent="0.25">
      <c r="A4" t="s">
        <v>328</v>
      </c>
      <c r="B4" t="s">
        <v>95</v>
      </c>
      <c r="C4" t="s">
        <v>160</v>
      </c>
      <c r="D4" t="s">
        <v>96</v>
      </c>
      <c r="E4" t="s">
        <v>96</v>
      </c>
      <c r="F4" t="b">
        <v>0</v>
      </c>
      <c r="G4" t="b">
        <v>0</v>
      </c>
      <c r="I4" t="s">
        <v>87</v>
      </c>
      <c r="J4">
        <v>1</v>
      </c>
    </row>
    <row r="5" spans="1:10" x14ac:dyDescent="0.25">
      <c r="A5" t="s">
        <v>328</v>
      </c>
      <c r="B5" t="s">
        <v>98</v>
      </c>
      <c r="C5" t="s">
        <v>160</v>
      </c>
      <c r="D5" t="s">
        <v>100</v>
      </c>
      <c r="E5" t="s">
        <v>100</v>
      </c>
      <c r="F5" t="b">
        <v>0</v>
      </c>
      <c r="G5" t="b">
        <v>0</v>
      </c>
      <c r="I5" t="s">
        <v>87</v>
      </c>
      <c r="J5">
        <v>1</v>
      </c>
    </row>
    <row r="6" spans="1:10" x14ac:dyDescent="0.25">
      <c r="A6" t="s">
        <v>328</v>
      </c>
      <c r="B6" t="s">
        <v>104</v>
      </c>
      <c r="C6" t="s">
        <v>160</v>
      </c>
      <c r="D6" t="s">
        <v>106</v>
      </c>
      <c r="E6" t="s">
        <v>106</v>
      </c>
      <c r="F6" t="b">
        <v>1</v>
      </c>
      <c r="G6" t="b">
        <v>0</v>
      </c>
      <c r="I6" t="s">
        <v>87</v>
      </c>
      <c r="J6">
        <v>1</v>
      </c>
    </row>
    <row r="7" spans="1:10" x14ac:dyDescent="0.25">
      <c r="A7" t="s">
        <v>328</v>
      </c>
      <c r="B7" t="s">
        <v>108</v>
      </c>
      <c r="C7" t="s">
        <v>160</v>
      </c>
      <c r="D7" t="s">
        <v>110</v>
      </c>
      <c r="E7" t="s">
        <v>110</v>
      </c>
      <c r="F7" t="b">
        <v>1</v>
      </c>
      <c r="G7" t="b">
        <v>0</v>
      </c>
      <c r="I7" t="s">
        <v>111</v>
      </c>
      <c r="J7">
        <v>1</v>
      </c>
    </row>
    <row r="8" spans="1:10" x14ac:dyDescent="0.25">
      <c r="A8" t="s">
        <v>328</v>
      </c>
      <c r="B8" t="s">
        <v>113</v>
      </c>
      <c r="C8" t="s">
        <v>160</v>
      </c>
      <c r="D8" t="s">
        <v>114</v>
      </c>
      <c r="E8" t="s">
        <v>114</v>
      </c>
      <c r="F8" t="b">
        <v>1</v>
      </c>
      <c r="G8" t="b">
        <v>0</v>
      </c>
      <c r="I8" t="s">
        <v>87</v>
      </c>
      <c r="J8">
        <v>1</v>
      </c>
    </row>
    <row r="9" spans="1:10" x14ac:dyDescent="0.25">
      <c r="A9" t="s">
        <v>328</v>
      </c>
      <c r="B9" t="s">
        <v>116</v>
      </c>
      <c r="C9" t="s">
        <v>160</v>
      </c>
      <c r="D9" t="s">
        <v>117</v>
      </c>
      <c r="E9" t="s">
        <v>117</v>
      </c>
      <c r="F9" t="b">
        <v>1</v>
      </c>
      <c r="G9" t="b">
        <v>0</v>
      </c>
      <c r="I9" t="s">
        <v>111</v>
      </c>
      <c r="J9">
        <v>1</v>
      </c>
    </row>
    <row r="10" spans="1:10" x14ac:dyDescent="0.25">
      <c r="A10" t="s">
        <v>328</v>
      </c>
      <c r="B10" t="s">
        <v>120</v>
      </c>
      <c r="C10" t="s">
        <v>119</v>
      </c>
      <c r="D10" t="s">
        <v>121</v>
      </c>
      <c r="E10" t="s">
        <v>121</v>
      </c>
      <c r="F10" t="b">
        <v>1</v>
      </c>
      <c r="G10" t="b">
        <v>0</v>
      </c>
      <c r="I10" t="s">
        <v>122</v>
      </c>
      <c r="J10">
        <v>1</v>
      </c>
    </row>
    <row r="11" spans="1:10" x14ac:dyDescent="0.25">
      <c r="A11" t="s">
        <v>328</v>
      </c>
      <c r="B11" t="s">
        <v>124</v>
      </c>
      <c r="C11" t="s">
        <v>125</v>
      </c>
      <c r="D11" t="s">
        <v>126</v>
      </c>
      <c r="E11" t="s">
        <v>126</v>
      </c>
      <c r="F11" t="b">
        <v>1</v>
      </c>
      <c r="G11" t="b">
        <v>0</v>
      </c>
      <c r="I11" t="s">
        <v>87</v>
      </c>
      <c r="J11">
        <v>1</v>
      </c>
    </row>
    <row r="12" spans="1:10" x14ac:dyDescent="0.25">
      <c r="A12" t="s">
        <v>328</v>
      </c>
      <c r="B12" t="s">
        <v>129</v>
      </c>
      <c r="C12" t="s">
        <v>125</v>
      </c>
      <c r="D12" t="s">
        <v>130</v>
      </c>
      <c r="E12" t="s">
        <v>130</v>
      </c>
      <c r="F12" t="b">
        <v>1</v>
      </c>
      <c r="G12" t="b">
        <v>0</v>
      </c>
      <c r="I12" t="s">
        <v>87</v>
      </c>
      <c r="J12">
        <v>1</v>
      </c>
    </row>
    <row r="13" spans="1:10" x14ac:dyDescent="0.25">
      <c r="A13" t="s">
        <v>328</v>
      </c>
      <c r="B13" t="s">
        <v>132</v>
      </c>
      <c r="C13" t="s">
        <v>119</v>
      </c>
      <c r="D13" t="s">
        <v>133</v>
      </c>
      <c r="E13" t="s">
        <v>133</v>
      </c>
      <c r="F13" t="b">
        <v>1</v>
      </c>
      <c r="G13" t="b">
        <v>0</v>
      </c>
      <c r="I13" t="s">
        <v>87</v>
      </c>
      <c r="J13">
        <v>1</v>
      </c>
    </row>
    <row r="14" spans="1:10" x14ac:dyDescent="0.25">
      <c r="A14" t="s">
        <v>328</v>
      </c>
      <c r="B14" t="s">
        <v>135</v>
      </c>
      <c r="C14" t="s">
        <v>119</v>
      </c>
      <c r="D14" t="s">
        <v>136</v>
      </c>
      <c r="E14" t="s">
        <v>136</v>
      </c>
      <c r="F14" t="b">
        <v>1</v>
      </c>
      <c r="G14" t="b">
        <v>0</v>
      </c>
      <c r="I14" t="s">
        <v>87</v>
      </c>
      <c r="J14">
        <v>1</v>
      </c>
    </row>
    <row r="15" spans="1:10" x14ac:dyDescent="0.25">
      <c r="A15" t="s">
        <v>328</v>
      </c>
      <c r="B15" t="s">
        <v>139</v>
      </c>
      <c r="C15" t="s">
        <v>160</v>
      </c>
      <c r="D15" t="s">
        <v>161</v>
      </c>
      <c r="E15" t="s">
        <v>161</v>
      </c>
      <c r="F15" t="b">
        <v>1</v>
      </c>
      <c r="G15" t="b">
        <v>0</v>
      </c>
      <c r="I15" t="s">
        <v>87</v>
      </c>
      <c r="J15">
        <v>1</v>
      </c>
    </row>
    <row r="16" spans="1:10" x14ac:dyDescent="0.25">
      <c r="A16" t="s">
        <v>328</v>
      </c>
      <c r="B16" t="s">
        <v>162</v>
      </c>
      <c r="C16" t="s">
        <v>160</v>
      </c>
      <c r="D16" t="s">
        <v>90</v>
      </c>
      <c r="E16" t="s">
        <v>90</v>
      </c>
      <c r="F16" t="b">
        <v>0</v>
      </c>
      <c r="G16" t="b">
        <v>0</v>
      </c>
      <c r="I16" t="s">
        <v>87</v>
      </c>
      <c r="J16">
        <v>1</v>
      </c>
    </row>
    <row r="17" spans="1:10" x14ac:dyDescent="0.25">
      <c r="A17" t="s">
        <v>328</v>
      </c>
      <c r="B17" t="s">
        <v>144</v>
      </c>
      <c r="C17" t="s">
        <v>160</v>
      </c>
      <c r="D17" t="s">
        <v>145</v>
      </c>
      <c r="E17" t="s">
        <v>145</v>
      </c>
      <c r="F17" t="b">
        <v>0</v>
      </c>
      <c r="G17" t="b">
        <v>0</v>
      </c>
      <c r="I17" t="s">
        <v>87</v>
      </c>
      <c r="J17">
        <v>1</v>
      </c>
    </row>
    <row r="18" spans="1:10" x14ac:dyDescent="0.25">
      <c r="A18" t="s">
        <v>328</v>
      </c>
      <c r="B18" t="s">
        <v>146</v>
      </c>
      <c r="C18" t="s">
        <v>160</v>
      </c>
      <c r="D18" t="s">
        <v>147</v>
      </c>
      <c r="E18" t="s">
        <v>147</v>
      </c>
      <c r="F18" t="b">
        <v>0</v>
      </c>
      <c r="G18" t="b">
        <v>0</v>
      </c>
      <c r="I18" t="s">
        <v>87</v>
      </c>
      <c r="J18">
        <v>1</v>
      </c>
    </row>
    <row r="19" spans="1:10" x14ac:dyDescent="0.25">
      <c r="A19" t="s">
        <v>328</v>
      </c>
      <c r="B19" t="s">
        <v>148</v>
      </c>
      <c r="C19" t="s">
        <v>119</v>
      </c>
      <c r="D19" t="s">
        <v>149</v>
      </c>
      <c r="E19" t="s">
        <v>149</v>
      </c>
      <c r="F19" t="b">
        <v>0</v>
      </c>
      <c r="G19" t="b">
        <v>0</v>
      </c>
      <c r="I19" t="s">
        <v>87</v>
      </c>
      <c r="J19">
        <v>1</v>
      </c>
    </row>
    <row r="20" spans="1:10" x14ac:dyDescent="0.25">
      <c r="A20" t="s">
        <v>328</v>
      </c>
      <c r="B20" t="s">
        <v>150</v>
      </c>
      <c r="C20" t="s">
        <v>119</v>
      </c>
      <c r="D20" t="s">
        <v>151</v>
      </c>
      <c r="E20" t="s">
        <v>151</v>
      </c>
      <c r="F20" t="b">
        <v>0</v>
      </c>
      <c r="G20" t="b">
        <v>0</v>
      </c>
      <c r="I20" t="s">
        <v>87</v>
      </c>
      <c r="J20">
        <v>1</v>
      </c>
    </row>
    <row r="21" spans="1:10" x14ac:dyDescent="0.25">
      <c r="A21" t="s">
        <v>328</v>
      </c>
      <c r="B21" t="s">
        <v>152</v>
      </c>
      <c r="C21" t="s">
        <v>160</v>
      </c>
      <c r="D21" t="s">
        <v>153</v>
      </c>
      <c r="E21" t="s">
        <v>153</v>
      </c>
      <c r="F21" t="b">
        <v>0</v>
      </c>
      <c r="G21" t="b">
        <v>0</v>
      </c>
      <c r="I21" t="s">
        <v>87</v>
      </c>
      <c r="J21">
        <v>1</v>
      </c>
    </row>
    <row r="22" spans="1:10" x14ac:dyDescent="0.25">
      <c r="A22" t="s">
        <v>328</v>
      </c>
      <c r="B22" t="s">
        <v>154</v>
      </c>
      <c r="C22" t="s">
        <v>119</v>
      </c>
      <c r="D22" t="s">
        <v>155</v>
      </c>
      <c r="E22" t="s">
        <v>155</v>
      </c>
      <c r="F22" t="b">
        <v>0</v>
      </c>
      <c r="G22" t="b">
        <v>0</v>
      </c>
      <c r="I22" t="s">
        <v>87</v>
      </c>
      <c r="J22">
        <v>1</v>
      </c>
    </row>
    <row r="23" spans="1:10" x14ac:dyDescent="0.25">
      <c r="A23" t="s">
        <v>328</v>
      </c>
      <c r="B23" t="s">
        <v>156</v>
      </c>
      <c r="C23" t="s">
        <v>119</v>
      </c>
      <c r="D23" t="s">
        <v>157</v>
      </c>
      <c r="E23" t="s">
        <v>157</v>
      </c>
      <c r="F23" t="b">
        <v>0</v>
      </c>
      <c r="G23" t="b">
        <v>0</v>
      </c>
      <c r="I23" t="s">
        <v>87</v>
      </c>
      <c r="J23">
        <v>1</v>
      </c>
    </row>
    <row r="24" spans="1:10" x14ac:dyDescent="0.25">
      <c r="A24" t="s">
        <v>328</v>
      </c>
      <c r="B24" t="s">
        <v>158</v>
      </c>
      <c r="C24" t="s">
        <v>86</v>
      </c>
      <c r="D24" t="s">
        <v>159</v>
      </c>
      <c r="E24" t="s">
        <v>159</v>
      </c>
      <c r="F24" t="b">
        <v>0</v>
      </c>
      <c r="G24" t="b">
        <v>0</v>
      </c>
      <c r="I24" t="s">
        <v>87</v>
      </c>
      <c r="J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DCD-7881-4F49-8AA7-7597EF6A72AD}">
  <dimension ref="A1:A252"/>
  <sheetViews>
    <sheetView workbookViewId="0">
      <selection sqref="A1:A252"/>
    </sheetView>
  </sheetViews>
  <sheetFormatPr defaultRowHeight="15" x14ac:dyDescent="0.25"/>
  <sheetData>
    <row r="1" spans="1:1" x14ac:dyDescent="0.25">
      <c r="A1" s="6" t="e" cm="1">
        <f t="array" ref="A1">-- V10 Source-to-Target mapping for PAY.CORE.CARD_CUSTOMER from RAW.VISION</f>
        <v>#NAME?</v>
      </c>
    </row>
    <row r="2" spans="1:1" x14ac:dyDescent="0.25">
      <c r="A2" s="6" t="e" cm="1">
        <f t="array" ref="A2">-- Co-authored with CoCo</f>
        <v>#NAME?</v>
      </c>
    </row>
    <row r="4" spans="1:1" x14ac:dyDescent="0.25">
      <c r="A4" t="s">
        <v>170</v>
      </c>
    </row>
    <row r="5" spans="1:1" x14ac:dyDescent="0.25">
      <c r="A5" t="s">
        <v>171</v>
      </c>
    </row>
    <row r="7" spans="1:1" x14ac:dyDescent="0.25">
      <c r="A7" t="s">
        <v>172</v>
      </c>
    </row>
    <row r="8" spans="1:1" x14ac:dyDescent="0.25">
      <c r="A8" t="e" cm="1">
        <f t="array" ref="A8">-- Target: PAY.CORE.CARD_CUSTOMER</f>
        <v>#NAME?</v>
      </c>
    </row>
    <row r="9" spans="1:1" x14ac:dyDescent="0.25">
      <c r="A9" t="s">
        <v>173</v>
      </c>
    </row>
    <row r="10" spans="1:1" x14ac:dyDescent="0.25">
      <c r="A10" t="s">
        <v>174</v>
      </c>
    </row>
    <row r="11" spans="1:1" x14ac:dyDescent="0.25">
      <c r="A11" t="s">
        <v>175</v>
      </c>
    </row>
    <row r="12" spans="1:1" x14ac:dyDescent="0.25">
      <c r="A12" t="s">
        <v>176</v>
      </c>
    </row>
    <row r="13" spans="1:1" x14ac:dyDescent="0.25">
      <c r="A13" t="s">
        <v>177</v>
      </c>
    </row>
    <row r="14" spans="1:1" x14ac:dyDescent="0.25">
      <c r="A14" t="s">
        <v>178</v>
      </c>
    </row>
    <row r="15" spans="1:1" x14ac:dyDescent="0.25">
      <c r="A15" t="s">
        <v>176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172</v>
      </c>
    </row>
    <row r="21" spans="1:1" x14ac:dyDescent="0.25">
      <c r="A21" t="s">
        <v>182</v>
      </c>
    </row>
    <row r="22" spans="1:1" x14ac:dyDescent="0.25">
      <c r="A22" t="s">
        <v>183</v>
      </c>
    </row>
    <row r="23" spans="1:1" x14ac:dyDescent="0.25">
      <c r="A23" t="s">
        <v>182</v>
      </c>
    </row>
    <row r="25" spans="1:1" x14ac:dyDescent="0.25">
      <c r="A25" t="s">
        <v>184</v>
      </c>
    </row>
    <row r="26" spans="1:1" x14ac:dyDescent="0.25">
      <c r="A26" t="s">
        <v>185</v>
      </c>
    </row>
    <row r="27" spans="1:1" x14ac:dyDescent="0.25">
      <c r="A27" t="s">
        <v>186</v>
      </c>
    </row>
    <row r="28" spans="1:1" x14ac:dyDescent="0.25">
      <c r="A28" t="s">
        <v>187</v>
      </c>
    </row>
    <row r="29" spans="1:1" x14ac:dyDescent="0.25">
      <c r="A29" t="s">
        <v>188</v>
      </c>
    </row>
    <row r="30" spans="1:1" x14ac:dyDescent="0.25">
      <c r="A30" t="s">
        <v>189</v>
      </c>
    </row>
    <row r="32" spans="1:1" x14ac:dyDescent="0.25">
      <c r="A32" t="s">
        <v>190</v>
      </c>
    </row>
    <row r="33" spans="1:1" x14ac:dyDescent="0.25">
      <c r="A33" t="s">
        <v>191</v>
      </c>
    </row>
    <row r="34" spans="1:1" x14ac:dyDescent="0.25">
      <c r="A34" t="s">
        <v>192</v>
      </c>
    </row>
    <row r="35" spans="1:1" x14ac:dyDescent="0.25">
      <c r="A35" t="s">
        <v>193</v>
      </c>
    </row>
    <row r="36" spans="1:1" x14ac:dyDescent="0.25">
      <c r="A36" t="s">
        <v>194</v>
      </c>
    </row>
    <row r="37" spans="1:1" x14ac:dyDescent="0.25">
      <c r="A37" t="s">
        <v>195</v>
      </c>
    </row>
    <row r="38" spans="1:1" x14ac:dyDescent="0.25">
      <c r="A38" t="s">
        <v>196</v>
      </c>
    </row>
    <row r="39" spans="1:1" x14ac:dyDescent="0.25">
      <c r="A39" t="s">
        <v>197</v>
      </c>
    </row>
    <row r="40" spans="1:1" x14ac:dyDescent="0.25">
      <c r="A40" t="s">
        <v>198</v>
      </c>
    </row>
    <row r="41" spans="1:1" x14ac:dyDescent="0.25">
      <c r="A41" t="s">
        <v>199</v>
      </c>
    </row>
    <row r="42" spans="1:1" x14ac:dyDescent="0.25">
      <c r="A42" t="s">
        <v>200</v>
      </c>
    </row>
    <row r="44" spans="1:1" x14ac:dyDescent="0.25">
      <c r="A44" t="s">
        <v>182</v>
      </c>
    </row>
    <row r="45" spans="1:1" x14ac:dyDescent="0.25">
      <c r="A45" t="s">
        <v>201</v>
      </c>
    </row>
    <row r="46" spans="1:1" x14ac:dyDescent="0.25">
      <c r="A46" t="s">
        <v>182</v>
      </c>
    </row>
    <row r="48" spans="1:1" x14ac:dyDescent="0.25">
      <c r="A48" t="s">
        <v>191</v>
      </c>
    </row>
    <row r="49" spans="1:1" x14ac:dyDescent="0.25">
      <c r="A49" t="s">
        <v>202</v>
      </c>
    </row>
    <row r="50" spans="1:1" x14ac:dyDescent="0.25">
      <c r="A50" t="s">
        <v>331</v>
      </c>
    </row>
    <row r="51" spans="1:1" x14ac:dyDescent="0.25">
      <c r="A51" t="s">
        <v>203</v>
      </c>
    </row>
    <row r="52" spans="1:1" x14ac:dyDescent="0.25">
      <c r="A52" t="s">
        <v>204</v>
      </c>
    </row>
    <row r="53" spans="1:1" x14ac:dyDescent="0.25">
      <c r="A53" t="s">
        <v>202</v>
      </c>
    </row>
    <row r="54" spans="1:1" x14ac:dyDescent="0.25">
      <c r="A54" s="6" t="s">
        <v>332</v>
      </c>
    </row>
    <row r="55" spans="1:1" x14ac:dyDescent="0.25">
      <c r="A55" s="6"/>
    </row>
    <row r="56" spans="1:1" x14ac:dyDescent="0.25">
      <c r="A56" t="s">
        <v>202</v>
      </c>
    </row>
    <row r="57" spans="1:1" x14ac:dyDescent="0.25">
      <c r="A57" t="s">
        <v>333</v>
      </c>
    </row>
    <row r="58" spans="1:1" x14ac:dyDescent="0.25">
      <c r="A58" t="s">
        <v>205</v>
      </c>
    </row>
    <row r="59" spans="1:1" x14ac:dyDescent="0.25">
      <c r="A59" t="s">
        <v>206</v>
      </c>
    </row>
    <row r="60" spans="1:1" x14ac:dyDescent="0.25">
      <c r="A60" t="s">
        <v>202</v>
      </c>
    </row>
    <row r="61" spans="1:1" x14ac:dyDescent="0.25">
      <c r="A61" t="s">
        <v>334</v>
      </c>
    </row>
    <row r="63" spans="1:1" x14ac:dyDescent="0.25">
      <c r="A63" t="s">
        <v>202</v>
      </c>
    </row>
    <row r="64" spans="1:1" x14ac:dyDescent="0.25">
      <c r="A64" t="s">
        <v>207</v>
      </c>
    </row>
    <row r="65" spans="1:1" x14ac:dyDescent="0.25">
      <c r="A65" t="s">
        <v>208</v>
      </c>
    </row>
    <row r="66" spans="1:1" x14ac:dyDescent="0.25">
      <c r="A66" t="s">
        <v>209</v>
      </c>
    </row>
    <row r="67" spans="1:1" x14ac:dyDescent="0.25">
      <c r="A67" t="s">
        <v>210</v>
      </c>
    </row>
    <row r="68" spans="1:1" x14ac:dyDescent="0.25">
      <c r="A68" t="s">
        <v>211</v>
      </c>
    </row>
    <row r="69" spans="1:1" x14ac:dyDescent="0.25">
      <c r="A69" t="s">
        <v>212</v>
      </c>
    </row>
    <row r="70" spans="1:1" x14ac:dyDescent="0.25">
      <c r="A70" t="s">
        <v>213</v>
      </c>
    </row>
    <row r="71" spans="1:1" x14ac:dyDescent="0.25">
      <c r="A71" t="s">
        <v>214</v>
      </c>
    </row>
    <row r="72" spans="1:1" x14ac:dyDescent="0.25">
      <c r="A72" t="s">
        <v>215</v>
      </c>
    </row>
    <row r="73" spans="1:1" x14ac:dyDescent="0.25">
      <c r="A73" t="s">
        <v>216</v>
      </c>
    </row>
    <row r="74" spans="1:1" x14ac:dyDescent="0.25">
      <c r="A74" t="s">
        <v>202</v>
      </c>
    </row>
    <row r="75" spans="1:1" x14ac:dyDescent="0.25">
      <c r="A75" t="s">
        <v>217</v>
      </c>
    </row>
    <row r="76" spans="1:1" x14ac:dyDescent="0.25">
      <c r="A76" t="s">
        <v>218</v>
      </c>
    </row>
    <row r="77" spans="1:1" x14ac:dyDescent="0.25">
      <c r="A77" t="s">
        <v>219</v>
      </c>
    </row>
    <row r="78" spans="1:1" x14ac:dyDescent="0.25">
      <c r="A78" t="s">
        <v>220</v>
      </c>
    </row>
    <row r="79" spans="1:1" x14ac:dyDescent="0.25">
      <c r="A79" t="s">
        <v>221</v>
      </c>
    </row>
    <row r="80" spans="1:1" x14ac:dyDescent="0.25">
      <c r="A80" t="s">
        <v>222</v>
      </c>
    </row>
    <row r="81" spans="1:1" x14ac:dyDescent="0.25">
      <c r="A81" t="s">
        <v>223</v>
      </c>
    </row>
    <row r="83" spans="1:1" x14ac:dyDescent="0.25">
      <c r="A83" t="s">
        <v>202</v>
      </c>
    </row>
    <row r="84" spans="1:1" x14ac:dyDescent="0.25">
      <c r="A84" t="s">
        <v>224</v>
      </c>
    </row>
    <row r="85" spans="1:1" x14ac:dyDescent="0.25">
      <c r="A85" t="s">
        <v>225</v>
      </c>
    </row>
    <row r="86" spans="1:1" x14ac:dyDescent="0.25">
      <c r="A86" t="s">
        <v>226</v>
      </c>
    </row>
    <row r="87" spans="1:1" x14ac:dyDescent="0.25">
      <c r="A87" t="s">
        <v>202</v>
      </c>
    </row>
    <row r="88" spans="1:1" x14ac:dyDescent="0.25">
      <c r="A88" t="s">
        <v>227</v>
      </c>
    </row>
    <row r="90" spans="1:1" x14ac:dyDescent="0.25">
      <c r="A90" t="s">
        <v>202</v>
      </c>
    </row>
    <row r="91" spans="1:1" x14ac:dyDescent="0.25">
      <c r="A91" t="s">
        <v>228</v>
      </c>
    </row>
    <row r="92" spans="1:1" x14ac:dyDescent="0.25">
      <c r="A92" t="s">
        <v>229</v>
      </c>
    </row>
    <row r="93" spans="1:1" x14ac:dyDescent="0.25">
      <c r="A93" t="s">
        <v>230</v>
      </c>
    </row>
    <row r="94" spans="1:1" x14ac:dyDescent="0.25">
      <c r="A94" t="s">
        <v>202</v>
      </c>
    </row>
    <row r="95" spans="1:1" x14ac:dyDescent="0.25">
      <c r="A95" t="s">
        <v>231</v>
      </c>
    </row>
    <row r="97" spans="1:1" x14ac:dyDescent="0.25">
      <c r="A97" t="s">
        <v>202</v>
      </c>
    </row>
    <row r="98" spans="1:1" x14ac:dyDescent="0.25">
      <c r="A98" t="s">
        <v>232</v>
      </c>
    </row>
    <row r="99" spans="1:1" x14ac:dyDescent="0.25">
      <c r="A99" t="s">
        <v>233</v>
      </c>
    </row>
    <row r="100" spans="1:1" x14ac:dyDescent="0.25">
      <c r="A100" t="s">
        <v>234</v>
      </c>
    </row>
    <row r="101" spans="1:1" x14ac:dyDescent="0.25">
      <c r="A101" t="s">
        <v>235</v>
      </c>
    </row>
    <row r="102" spans="1:1" x14ac:dyDescent="0.25">
      <c r="A102" t="s">
        <v>202</v>
      </c>
    </row>
    <row r="103" spans="1:1" x14ac:dyDescent="0.25">
      <c r="A103" t="s">
        <v>236</v>
      </c>
    </row>
    <row r="105" spans="1:1" x14ac:dyDescent="0.25">
      <c r="A105" t="s">
        <v>202</v>
      </c>
    </row>
    <row r="106" spans="1:1" x14ac:dyDescent="0.25">
      <c r="A106" t="s">
        <v>237</v>
      </c>
    </row>
    <row r="107" spans="1:1" x14ac:dyDescent="0.25">
      <c r="A107" t="s">
        <v>238</v>
      </c>
    </row>
    <row r="108" spans="1:1" x14ac:dyDescent="0.25">
      <c r="A108" t="s">
        <v>230</v>
      </c>
    </row>
    <row r="109" spans="1:1" x14ac:dyDescent="0.25">
      <c r="A109" t="s">
        <v>239</v>
      </c>
    </row>
    <row r="110" spans="1:1" x14ac:dyDescent="0.25">
      <c r="A110" t="s">
        <v>240</v>
      </c>
    </row>
    <row r="111" spans="1:1" x14ac:dyDescent="0.25">
      <c r="A111" t="s">
        <v>202</v>
      </c>
    </row>
    <row r="112" spans="1:1" x14ac:dyDescent="0.25">
      <c r="A112" t="s">
        <v>241</v>
      </c>
    </row>
    <row r="114" spans="1:1" x14ac:dyDescent="0.25">
      <c r="A114" t="s">
        <v>202</v>
      </c>
    </row>
    <row r="115" spans="1:1" x14ac:dyDescent="0.25">
      <c r="A115" t="s">
        <v>242</v>
      </c>
    </row>
    <row r="116" spans="1:1" x14ac:dyDescent="0.25">
      <c r="A116" t="s">
        <v>243</v>
      </c>
    </row>
    <row r="117" spans="1:1" x14ac:dyDescent="0.25">
      <c r="A117" t="s">
        <v>230</v>
      </c>
    </row>
    <row r="118" spans="1:1" x14ac:dyDescent="0.25">
      <c r="A118" t="s">
        <v>202</v>
      </c>
    </row>
    <row r="119" spans="1:1" x14ac:dyDescent="0.25">
      <c r="A119" t="s">
        <v>244</v>
      </c>
    </row>
    <row r="121" spans="1:1" x14ac:dyDescent="0.25">
      <c r="A121" t="s">
        <v>202</v>
      </c>
    </row>
    <row r="122" spans="1:1" x14ac:dyDescent="0.25">
      <c r="A122" t="s">
        <v>245</v>
      </c>
    </row>
    <row r="123" spans="1:1" x14ac:dyDescent="0.25">
      <c r="A123" t="s">
        <v>246</v>
      </c>
    </row>
    <row r="124" spans="1:1" x14ac:dyDescent="0.25">
      <c r="A124" s="6" t="s">
        <v>230</v>
      </c>
    </row>
    <row r="125" spans="1:1" x14ac:dyDescent="0.25">
      <c r="A125" t="s">
        <v>202</v>
      </c>
    </row>
    <row r="126" spans="1:1" x14ac:dyDescent="0.25">
      <c r="A126" t="s">
        <v>247</v>
      </c>
    </row>
    <row r="128" spans="1:1" x14ac:dyDescent="0.25">
      <c r="A128" t="s">
        <v>202</v>
      </c>
    </row>
    <row r="129" spans="1:1" x14ac:dyDescent="0.25">
      <c r="A129" t="s">
        <v>248</v>
      </c>
    </row>
    <row r="130" spans="1:1" x14ac:dyDescent="0.25">
      <c r="A130" t="s">
        <v>249</v>
      </c>
    </row>
    <row r="131" spans="1:1" x14ac:dyDescent="0.25">
      <c r="A131" t="s">
        <v>230</v>
      </c>
    </row>
    <row r="132" spans="1:1" x14ac:dyDescent="0.25">
      <c r="A132" t="s">
        <v>202</v>
      </c>
    </row>
    <row r="133" spans="1:1" x14ac:dyDescent="0.25">
      <c r="A133" t="s">
        <v>250</v>
      </c>
    </row>
    <row r="135" spans="1:1" x14ac:dyDescent="0.25">
      <c r="A135" t="s">
        <v>202</v>
      </c>
    </row>
    <row r="136" spans="1:1" x14ac:dyDescent="0.25">
      <c r="A136" t="s">
        <v>251</v>
      </c>
    </row>
    <row r="137" spans="1:1" x14ac:dyDescent="0.25">
      <c r="A137" t="s">
        <v>252</v>
      </c>
    </row>
    <row r="138" spans="1:1" x14ac:dyDescent="0.25">
      <c r="A138" t="s">
        <v>253</v>
      </c>
    </row>
    <row r="139" spans="1:1" x14ac:dyDescent="0.25">
      <c r="A139" t="s">
        <v>202</v>
      </c>
    </row>
    <row r="140" spans="1:1" x14ac:dyDescent="0.25">
      <c r="A140" t="s">
        <v>254</v>
      </c>
    </row>
    <row r="142" spans="1:1" x14ac:dyDescent="0.25">
      <c r="A142" t="s">
        <v>202</v>
      </c>
    </row>
    <row r="143" spans="1:1" x14ac:dyDescent="0.25">
      <c r="A143" t="s">
        <v>255</v>
      </c>
    </row>
    <row r="144" spans="1:1" x14ac:dyDescent="0.25">
      <c r="A144" t="s">
        <v>256</v>
      </c>
    </row>
    <row r="145" spans="1:1" x14ac:dyDescent="0.25">
      <c r="A145" t="s">
        <v>230</v>
      </c>
    </row>
    <row r="146" spans="1:1" x14ac:dyDescent="0.25">
      <c r="A146" t="s">
        <v>257</v>
      </c>
    </row>
    <row r="147" spans="1:1" x14ac:dyDescent="0.25">
      <c r="A147" t="s">
        <v>202</v>
      </c>
    </row>
    <row r="148" spans="1:1" x14ac:dyDescent="0.25">
      <c r="A148" t="s">
        <v>258</v>
      </c>
    </row>
    <row r="150" spans="1:1" x14ac:dyDescent="0.25">
      <c r="A150" t="s">
        <v>202</v>
      </c>
    </row>
    <row r="151" spans="1:1" x14ac:dyDescent="0.25">
      <c r="A151" t="s">
        <v>259</v>
      </c>
    </row>
    <row r="152" spans="1:1" x14ac:dyDescent="0.25">
      <c r="A152" t="s">
        <v>260</v>
      </c>
    </row>
    <row r="153" spans="1:1" x14ac:dyDescent="0.25">
      <c r="A153" t="s">
        <v>261</v>
      </c>
    </row>
    <row r="154" spans="1:1" x14ac:dyDescent="0.25">
      <c r="A154" t="s">
        <v>262</v>
      </c>
    </row>
    <row r="155" spans="1:1" x14ac:dyDescent="0.25">
      <c r="A155" t="s">
        <v>202</v>
      </c>
    </row>
    <row r="156" spans="1:1" x14ac:dyDescent="0.25">
      <c r="A156" t="s">
        <v>263</v>
      </c>
    </row>
    <row r="158" spans="1:1" x14ac:dyDescent="0.25">
      <c r="A158" t="s">
        <v>202</v>
      </c>
    </row>
    <row r="159" spans="1:1" x14ac:dyDescent="0.25">
      <c r="A159" t="s">
        <v>264</v>
      </c>
    </row>
    <row r="160" spans="1:1" x14ac:dyDescent="0.25">
      <c r="A160" t="s">
        <v>265</v>
      </c>
    </row>
    <row r="161" spans="1:1" x14ac:dyDescent="0.25">
      <c r="A161" t="s">
        <v>266</v>
      </c>
    </row>
    <row r="162" spans="1:1" x14ac:dyDescent="0.25">
      <c r="A162" t="s">
        <v>202</v>
      </c>
    </row>
    <row r="163" spans="1:1" x14ac:dyDescent="0.25">
      <c r="A163" t="s">
        <v>267</v>
      </c>
    </row>
    <row r="165" spans="1:1" x14ac:dyDescent="0.25">
      <c r="A165" t="s">
        <v>202</v>
      </c>
    </row>
    <row r="166" spans="1:1" x14ac:dyDescent="0.25">
      <c r="A166" t="s">
        <v>268</v>
      </c>
    </row>
    <row r="167" spans="1:1" x14ac:dyDescent="0.25">
      <c r="A167" t="s">
        <v>269</v>
      </c>
    </row>
    <row r="168" spans="1:1" x14ac:dyDescent="0.25">
      <c r="A168" t="s">
        <v>230</v>
      </c>
    </row>
    <row r="169" spans="1:1" x14ac:dyDescent="0.25">
      <c r="A169" t="s">
        <v>202</v>
      </c>
    </row>
    <row r="170" spans="1:1" x14ac:dyDescent="0.25">
      <c r="A170" t="s">
        <v>270</v>
      </c>
    </row>
    <row r="172" spans="1:1" x14ac:dyDescent="0.25">
      <c r="A172" t="s">
        <v>202</v>
      </c>
    </row>
    <row r="173" spans="1:1" x14ac:dyDescent="0.25">
      <c r="A173" t="s">
        <v>271</v>
      </c>
    </row>
    <row r="174" spans="1:1" x14ac:dyDescent="0.25">
      <c r="A174" t="s">
        <v>208</v>
      </c>
    </row>
    <row r="175" spans="1:1" x14ac:dyDescent="0.25">
      <c r="A175" t="s">
        <v>272</v>
      </c>
    </row>
    <row r="176" spans="1:1" x14ac:dyDescent="0.25">
      <c r="A176" t="s">
        <v>273</v>
      </c>
    </row>
    <row r="177" spans="1:1" x14ac:dyDescent="0.25">
      <c r="A177" t="s">
        <v>274</v>
      </c>
    </row>
    <row r="178" spans="1:1" x14ac:dyDescent="0.25">
      <c r="A178" t="s">
        <v>202</v>
      </c>
    </row>
    <row r="179" spans="1:1" x14ac:dyDescent="0.25">
      <c r="A179" t="s">
        <v>275</v>
      </c>
    </row>
    <row r="180" spans="1:1" x14ac:dyDescent="0.25">
      <c r="A180" t="s">
        <v>276</v>
      </c>
    </row>
    <row r="181" spans="1:1" x14ac:dyDescent="0.25">
      <c r="A181" t="s">
        <v>277</v>
      </c>
    </row>
    <row r="182" spans="1:1" x14ac:dyDescent="0.25">
      <c r="A182" t="s">
        <v>278</v>
      </c>
    </row>
    <row r="184" spans="1:1" x14ac:dyDescent="0.25">
      <c r="A184" t="s">
        <v>202</v>
      </c>
    </row>
    <row r="185" spans="1:1" x14ac:dyDescent="0.25">
      <c r="A185" t="s">
        <v>279</v>
      </c>
    </row>
    <row r="186" spans="1:1" x14ac:dyDescent="0.25">
      <c r="A186" t="s">
        <v>280</v>
      </c>
    </row>
    <row r="187" spans="1:1" x14ac:dyDescent="0.25">
      <c r="A187" t="s">
        <v>202</v>
      </c>
    </row>
    <row r="188" spans="1:1" x14ac:dyDescent="0.25">
      <c r="A188" t="s">
        <v>281</v>
      </c>
    </row>
    <row r="189" spans="1:1" x14ac:dyDescent="0.25">
      <c r="A189" t="s">
        <v>282</v>
      </c>
    </row>
    <row r="190" spans="1:1" x14ac:dyDescent="0.25">
      <c r="A190" t="s">
        <v>283</v>
      </c>
    </row>
    <row r="191" spans="1:1" x14ac:dyDescent="0.25">
      <c r="A191" t="s">
        <v>284</v>
      </c>
    </row>
    <row r="192" spans="1:1" x14ac:dyDescent="0.25">
      <c r="A192" t="s">
        <v>285</v>
      </c>
    </row>
    <row r="193" spans="1:1" x14ac:dyDescent="0.25">
      <c r="A193" t="s">
        <v>286</v>
      </c>
    </row>
    <row r="194" spans="1:1" x14ac:dyDescent="0.25">
      <c r="A194" t="s">
        <v>287</v>
      </c>
    </row>
    <row r="195" spans="1:1" x14ac:dyDescent="0.25">
      <c r="A195" t="s">
        <v>288</v>
      </c>
    </row>
    <row r="197" spans="1:1" x14ac:dyDescent="0.25">
      <c r="A197" t="s">
        <v>194</v>
      </c>
    </row>
    <row r="199" spans="1:1" x14ac:dyDescent="0.25">
      <c r="A199" t="e" cm="1">
        <f t="array" ref="A199">-- Bridge: Customer to Account</f>
        <v>#NAME?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4" spans="1:1" x14ac:dyDescent="0.25">
      <c r="A204" t="s">
        <v>289</v>
      </c>
    </row>
    <row r="205" spans="1:1" x14ac:dyDescent="0.25">
      <c r="A205" t="s">
        <v>198</v>
      </c>
    </row>
    <row r="206" spans="1:1" x14ac:dyDescent="0.25">
      <c r="A206" t="s">
        <v>199</v>
      </c>
    </row>
    <row r="207" spans="1:1" x14ac:dyDescent="0.25">
      <c r="A207" t="s">
        <v>290</v>
      </c>
    </row>
    <row r="209" spans="1:1" x14ac:dyDescent="0.25">
      <c r="A209" t="s">
        <v>291</v>
      </c>
    </row>
    <row r="211" spans="1:1" x14ac:dyDescent="0.25">
      <c r="A211" t="s">
        <v>182</v>
      </c>
    </row>
    <row r="212" spans="1:1" x14ac:dyDescent="0.25">
      <c r="A212" t="e" cm="1">
        <f t="array" ref="A212">-- mapping SUMMARY</f>
        <v>#NAME?</v>
      </c>
    </row>
    <row r="213" spans="1:1" x14ac:dyDescent="0.25">
      <c r="A213" t="s">
        <v>182</v>
      </c>
    </row>
    <row r="214" spans="1:1" x14ac:dyDescent="0.25">
      <c r="A214" t="s">
        <v>292</v>
      </c>
    </row>
    <row r="215" spans="1:1" x14ac:dyDescent="0.25">
      <c r="A215" t="s">
        <v>293</v>
      </c>
    </row>
    <row r="216" spans="1:1" x14ac:dyDescent="0.25">
      <c r="A216" t="s">
        <v>335</v>
      </c>
    </row>
    <row r="217" spans="1:1" x14ac:dyDescent="0.25">
      <c r="A217" t="s">
        <v>336</v>
      </c>
    </row>
    <row r="218" spans="1:1" x14ac:dyDescent="0.25">
      <c r="A218" t="s">
        <v>294</v>
      </c>
    </row>
    <row r="219" spans="1:1" x14ac:dyDescent="0.25">
      <c r="A219" t="s">
        <v>295</v>
      </c>
    </row>
    <row r="220" spans="1:1" x14ac:dyDescent="0.25">
      <c r="A220" t="s">
        <v>296</v>
      </c>
    </row>
    <row r="221" spans="1:1" x14ac:dyDescent="0.25">
      <c r="A221" t="s">
        <v>297</v>
      </c>
    </row>
    <row r="222" spans="1:1" x14ac:dyDescent="0.25">
      <c r="A222" t="s">
        <v>298</v>
      </c>
    </row>
    <row r="223" spans="1:1" x14ac:dyDescent="0.25">
      <c r="A223" t="s">
        <v>299</v>
      </c>
    </row>
    <row r="224" spans="1:1" x14ac:dyDescent="0.25">
      <c r="A224" t="s">
        <v>300</v>
      </c>
    </row>
    <row r="225" spans="1:1" x14ac:dyDescent="0.25">
      <c r="A225" t="s">
        <v>301</v>
      </c>
    </row>
    <row r="226" spans="1:1" x14ac:dyDescent="0.25">
      <c r="A226" t="s">
        <v>302</v>
      </c>
    </row>
    <row r="227" spans="1:1" x14ac:dyDescent="0.25">
      <c r="A227" t="s">
        <v>303</v>
      </c>
    </row>
    <row r="228" spans="1:1" x14ac:dyDescent="0.25">
      <c r="A228" t="s">
        <v>304</v>
      </c>
    </row>
    <row r="229" spans="1:1" x14ac:dyDescent="0.25">
      <c r="A229" t="s">
        <v>305</v>
      </c>
    </row>
    <row r="230" spans="1:1" x14ac:dyDescent="0.25">
      <c r="A230" t="s">
        <v>306</v>
      </c>
    </row>
    <row r="231" spans="1:1" x14ac:dyDescent="0.25">
      <c r="A231" t="s">
        <v>307</v>
      </c>
    </row>
    <row r="232" spans="1:1" x14ac:dyDescent="0.25">
      <c r="A232" t="s">
        <v>308</v>
      </c>
    </row>
    <row r="233" spans="1:1" x14ac:dyDescent="0.25">
      <c r="A233" t="s">
        <v>309</v>
      </c>
    </row>
    <row r="234" spans="1:1" x14ac:dyDescent="0.25">
      <c r="A234" t="s">
        <v>310</v>
      </c>
    </row>
    <row r="235" spans="1:1" x14ac:dyDescent="0.25">
      <c r="A235" t="s">
        <v>311</v>
      </c>
    </row>
    <row r="236" spans="1:1" x14ac:dyDescent="0.25">
      <c r="A236" t="s">
        <v>312</v>
      </c>
    </row>
    <row r="237" spans="1:1" x14ac:dyDescent="0.25">
      <c r="A237" t="s">
        <v>313</v>
      </c>
    </row>
    <row r="238" spans="1:1" x14ac:dyDescent="0.25">
      <c r="A238" t="s">
        <v>314</v>
      </c>
    </row>
    <row r="239" spans="1:1" x14ac:dyDescent="0.25">
      <c r="A239" t="s">
        <v>315</v>
      </c>
    </row>
    <row r="240" spans="1:1" x14ac:dyDescent="0.25">
      <c r="A240" t="s">
        <v>316</v>
      </c>
    </row>
    <row r="241" spans="1:1" x14ac:dyDescent="0.25">
      <c r="A241" t="s">
        <v>317</v>
      </c>
    </row>
    <row r="242" spans="1:1" x14ac:dyDescent="0.25">
      <c r="A242" t="s">
        <v>182</v>
      </c>
    </row>
    <row r="244" spans="1:1" x14ac:dyDescent="0.25">
      <c r="A244" t="s">
        <v>182</v>
      </c>
    </row>
    <row r="245" spans="1:1" x14ac:dyDescent="0.25">
      <c r="A245" t="s">
        <v>318</v>
      </c>
    </row>
    <row r="246" spans="1:1" x14ac:dyDescent="0.25">
      <c r="A246" t="s">
        <v>319</v>
      </c>
    </row>
    <row r="247" spans="1:1" x14ac:dyDescent="0.25">
      <c r="A247" t="s">
        <v>320</v>
      </c>
    </row>
    <row r="248" spans="1:1" x14ac:dyDescent="0.25">
      <c r="A248" t="s">
        <v>321</v>
      </c>
    </row>
    <row r="249" spans="1:1" x14ac:dyDescent="0.25">
      <c r="A249" t="s">
        <v>322</v>
      </c>
    </row>
    <row r="250" spans="1:1" x14ac:dyDescent="0.25">
      <c r="A250" t="s">
        <v>323</v>
      </c>
    </row>
    <row r="251" spans="1:1" x14ac:dyDescent="0.25">
      <c r="A251" t="s">
        <v>324</v>
      </c>
    </row>
    <row r="252" spans="1:1" x14ac:dyDescent="0.25">
      <c r="A252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FAF-D7CD-48B8-8A2A-5000A2AA3E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1d7e03-206d-4ffb-a743-fa6ac5c76e62">
      <Terms xmlns="http://schemas.microsoft.com/office/infopath/2007/PartnerControls"/>
    </lcf76f155ced4ddcb4097134ff3c332f>
    <TaxCatchAll xmlns="5c2d2e38-04d7-4b63-ad41-29f4e22bdd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768BF43EFAF40947B6A2ABB42008A" ma:contentTypeVersion="11" ma:contentTypeDescription="Create a new document." ma:contentTypeScope="" ma:versionID="e18ef3c844474acc8090914619aab261">
  <xsd:schema xmlns:xsd="http://www.w3.org/2001/XMLSchema" xmlns:xs="http://www.w3.org/2001/XMLSchema" xmlns:p="http://schemas.microsoft.com/office/2006/metadata/properties" xmlns:ns2="411d7e03-206d-4ffb-a743-fa6ac5c76e62" xmlns:ns3="5c2d2e38-04d7-4b63-ad41-29f4e22bddaa" targetNamespace="http://schemas.microsoft.com/office/2006/metadata/properties" ma:root="true" ma:fieldsID="047a1c96c1f41712154ee0f556715b2b" ns2:_="" ns3:_="">
    <xsd:import namespace="411d7e03-206d-4ffb-a743-fa6ac5c76e62"/>
    <xsd:import namespace="5c2d2e38-04d7-4b63-ad41-29f4e22bd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7e03-206d-4ffb-a743-fa6ac5c76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c38fb9e-72a2-4698-ad7e-2ce364b77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e38-04d7-4b63-ad41-29f4e22bdd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b766c8f-0eae-47bb-aed5-81dc1b1aa202}" ma:internalName="TaxCatchAll" ma:showField="CatchAllData" ma:web="5c2d2e38-04d7-4b63-ad41-29f4e22b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562045-08A2-4A91-B68A-7EB181233427}">
  <ds:schemaRefs>
    <ds:schemaRef ds:uri="http://schemas.microsoft.com/office/2006/metadata/properties"/>
    <ds:schemaRef ds:uri="http://schemas.microsoft.com/office/infopath/2007/PartnerControls"/>
    <ds:schemaRef ds:uri="5d18894c-ec77-4b7c-8fff-a07e0ddfeac2"/>
    <ds:schemaRef ds:uri="b6692fa2-8214-4dbb-917c-66a280f902bb"/>
    <ds:schemaRef ds:uri="411d7e03-206d-4ffb-a743-fa6ac5c76e62"/>
    <ds:schemaRef ds:uri="5c2d2e38-04d7-4b63-ad41-29f4e22bddaa"/>
  </ds:schemaRefs>
</ds:datastoreItem>
</file>

<file path=customXml/itemProps2.xml><?xml version="1.0" encoding="utf-8"?>
<ds:datastoreItem xmlns:ds="http://schemas.openxmlformats.org/officeDocument/2006/customXml" ds:itemID="{89312712-D12D-4502-984B-F24B106F30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81880D-6B39-4429-B7AA-23C93AD1E5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7e03-206d-4ffb-a743-fa6ac5c76e62"/>
    <ds:schemaRef ds:uri="5c2d2e38-04d7-4b63-ad41-29f4e22b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Change Control</vt:lpstr>
      <vt:lpstr>Context</vt:lpstr>
      <vt:lpstr>Mapping</vt:lpstr>
      <vt:lpstr>Sheet1</vt:lpstr>
      <vt:lpstr>Example SQL</vt:lpstr>
      <vt:lpstr>Example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Rob (Latitude Financial)</dc:creator>
  <cp:keywords/>
  <dc:description/>
  <cp:lastModifiedBy>Shrirao, Prajakta (Latitude Financial)</cp:lastModifiedBy>
  <cp:revision/>
  <dcterms:created xsi:type="dcterms:W3CDTF">2026-06-18T01:30:23Z</dcterms:created>
  <dcterms:modified xsi:type="dcterms:W3CDTF">2026-08-26T02:01:47Z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0x0101002A9768BF43EFAF40947B6A2ABB42008A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